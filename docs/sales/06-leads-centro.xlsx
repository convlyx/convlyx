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anc\Documents\GitHub\saas\docs\sales\"/>
    </mc:Choice>
  </mc:AlternateContent>
  <xr:revisionPtr revIDLastSave="0" documentId="13_ncr:1_{F7A94DEF-C1CE-4BA2-B043-C5DC682BCD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ads" sheetId="1" r:id="rId1"/>
    <sheet name="Como usar" sheetId="2" r:id="rId2"/>
    <sheet name="Modelos" sheetId="3" r:id="rId3"/>
    <sheet name="Config" sheetId="4" r:id="rId4"/>
    <sheet name="Painel" sheetId="5" r:id="rId5"/>
  </sheets>
  <definedNames>
    <definedName name="_xlnm._FilterDatabase" localSheetId="0" hidden="1">Leads!$A$1:$AP$410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5" l="1"/>
  <c r="D32" i="5"/>
  <c r="C32" i="5"/>
  <c r="B32" i="5"/>
  <c r="E32" i="5" s="1"/>
  <c r="F31" i="5"/>
  <c r="D31" i="5"/>
  <c r="C31" i="5"/>
  <c r="B31" i="5"/>
  <c r="E31" i="5" s="1"/>
  <c r="F30" i="5"/>
  <c r="D30" i="5"/>
  <c r="C30" i="5"/>
  <c r="B30" i="5"/>
  <c r="E30" i="5" s="1"/>
  <c r="F29" i="5"/>
  <c r="D29" i="5"/>
  <c r="C29" i="5"/>
  <c r="B29" i="5"/>
  <c r="E29" i="5" s="1"/>
  <c r="F28" i="5"/>
  <c r="D28" i="5"/>
  <c r="C28" i="5"/>
  <c r="B28" i="5"/>
  <c r="E28" i="5" s="1"/>
  <c r="F27" i="5"/>
  <c r="D27" i="5"/>
  <c r="C27" i="5"/>
  <c r="B27" i="5"/>
  <c r="E27" i="5" s="1"/>
  <c r="F26" i="5"/>
  <c r="D26" i="5"/>
  <c r="C26" i="5"/>
  <c r="B26" i="5"/>
  <c r="F25" i="5"/>
  <c r="D25" i="5"/>
  <c r="E25" i="5" s="1"/>
  <c r="C25" i="5"/>
  <c r="B25" i="5"/>
  <c r="B12" i="5"/>
  <c r="B11" i="5"/>
  <c r="B10" i="5"/>
  <c r="B19" i="5" s="1"/>
  <c r="B9" i="5"/>
  <c r="B18" i="5" s="1"/>
  <c r="B8" i="5"/>
  <c r="B7" i="5"/>
  <c r="B6" i="5"/>
  <c r="B17" i="5" s="1"/>
  <c r="B5" i="5"/>
  <c r="B4" i="5"/>
  <c r="B13" i="5" s="1"/>
  <c r="B16" i="5" s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E26" i="5" l="1"/>
  <c r="B20" i="5"/>
  <c r="B21" i="5"/>
</calcChain>
</file>

<file path=xl/sharedStrings.xml><?xml version="1.0" encoding="utf-8"?>
<sst xmlns="http://schemas.openxmlformats.org/spreadsheetml/2006/main" count="6723" uniqueCount="3525">
  <si>
    <t>ID</t>
  </si>
  <si>
    <t>Prioridade</t>
  </si>
  <si>
    <t>Pontuação</t>
  </si>
  <si>
    <t>Estado</t>
  </si>
  <si>
    <t>Responsável</t>
  </si>
  <si>
    <t>Ângulo</t>
  </si>
  <si>
    <t>Distrito</t>
  </si>
  <si>
    <t>Concelho</t>
  </si>
  <si>
    <t>Localidade</t>
  </si>
  <si>
    <t>Escola</t>
  </si>
  <si>
    <t>Grupo</t>
  </si>
  <si>
    <t>Contacto</t>
  </si>
  <si>
    <t>Cargo</t>
  </si>
  <si>
    <t>Telefone</t>
  </si>
  <si>
    <t>Telemóvel</t>
  </si>
  <si>
    <t>WhatsApp</t>
  </si>
  <si>
    <t>Email</t>
  </si>
  <si>
    <t>Website</t>
  </si>
  <si>
    <t>Facebook</t>
  </si>
  <si>
    <t>Instagram</t>
  </si>
  <si>
    <t>Google ★</t>
  </si>
  <si>
    <t>Google n.º</t>
  </si>
  <si>
    <t>Software atual</t>
  </si>
  <si>
    <t>Marcação de aulas</t>
  </si>
  <si>
    <t>Sábado</t>
  </si>
  <si>
    <t>Horário</t>
  </si>
  <si>
    <t>Exames 2021</t>
  </si>
  <si>
    <t>Categorias</t>
  </si>
  <si>
    <t>Sinais de dor</t>
  </si>
  <si>
    <t>Motivo prioridade</t>
  </si>
  <si>
    <t>Próxima ação</t>
  </si>
  <si>
    <t>Data próxima ação</t>
  </si>
  <si>
    <t>Último contacto</t>
  </si>
  <si>
    <t>Passo seq</t>
  </si>
  <si>
    <t>Próximo envio</t>
  </si>
  <si>
    <t>Motivo perda</t>
  </si>
  <si>
    <t>Notas</t>
  </si>
  <si>
    <t>Link WhatsApp</t>
  </si>
  <si>
    <t>Software evidência</t>
  </si>
  <si>
    <t>Morada</t>
  </si>
  <si>
    <t>Fontes</t>
  </si>
  <si>
    <t>Thread ID</t>
  </si>
  <si>
    <t>A</t>
  </si>
  <si>
    <t>Novo</t>
  </si>
  <si>
    <t>Pedro</t>
  </si>
  <si>
    <t>grupo</t>
  </si>
  <si>
    <t>Leiria</t>
  </si>
  <si>
    <t>Caldas da Rainha</t>
  </si>
  <si>
    <t>Escola de Condução Bordalo Pinheiro</t>
  </si>
  <si>
    <t>Bordalo (grupo, segundo bomcondutor)</t>
  </si>
  <si>
    <t>262 880 399</t>
  </si>
  <si>
    <t>916 267 390</t>
  </si>
  <si>
    <t>https://www.facebook.com/pages/Escola-de-condução-Bordalo-Pinheiro/127727473957013</t>
  </si>
  <si>
    <t>Telefone/presencial; reviews indicam falta de aviso de cancelamentos</t>
  </si>
  <si>
    <t>"Falta de organização, desmarcam aulas sem telefonar... já é a quinta aula que não ligam a avisar de cancelamento" (Google 1★, 03/2023) https://escola-de-conducao.pt/escola-de-conducao-bordalo-pinheiro-306171.html; "Não me mandavam mensagem para cancelamento de aulas" (Google 2★, 07/2023) https://escola-de-conducao.pt/escola-de-conducao-bordalo-pinheiro-306171.html; "falta de organização enorme" (Google 1★, 12/2022) https://escola-de-conducao.pt/escola-de-conducao-bordalo-pinheiro-306171.html</t>
  </si>
  <si>
    <t>MELHOR LEAD: maior volume do distrito (1132 exames 2021) + dor exatamente no problema da Convlyx (cancelamentos sem aviso, desorganização)</t>
  </si>
  <si>
    <t>Rua Dr. Ângelo Ferrari, 5 R/c Dto - 2500-113 Caldas da Rainha</t>
  </si>
  <si>
    <t>https://passaprimeira.xyz/distritos-regioes/leiria/concelhos/caldas-da-rainha/escolas/bordalo-pinheiro-00913/; https://escola-de-conducao.pt/escola-de-conducao-bordalo-pinheiro-306171.html; https://www.bomcondutor.pt/escolas/escola/bordalo-pinheiro; https://www.andardemoto.pt/escolas-de-conducao/dir/d/leiria/c/caldas-da-rainha/p-2199/bordalo-pinheiro/</t>
  </si>
  <si>
    <t>Escola de Condução Caldas (EC Caldas)</t>
  </si>
  <si>
    <t>Provável grupo EC Caldas (Nova Rainha, Cardal-Pombal; review refere escola em Quinta do Conde) - bomcondutor: "Segurança Activa"</t>
  </si>
  <si>
    <t>262 877 371</t>
  </si>
  <si>
    <t>919 796 968</t>
  </si>
  <si>
    <t>http://www.eccaldas.pt/</t>
  </si>
  <si>
    <t>https://www.facebook.com/ECCALDAS</t>
  </si>
  <si>
    <t>Área do Aluno própria (login Joomla no site)</t>
  </si>
  <si>
    <t>Telefone/presencial; área do aluno web legada</t>
  </si>
  <si>
    <t>Sim</t>
  </si>
  <si>
    <t>Secretaria 2ª-6ª 10h-12h30 / 14h-20h; Sábado 9h-13h (ABERTO sábado); aulas teóricas sáb 10h, 11h, 12h</t>
  </si>
  <si>
    <t>A, B (motociclos e ligeiros)</t>
  </si>
  <si>
    <t>"Falta de organização, falta de informação, prazos longos" (Google 1★, 03/2024) https://escola-de-conducao.pt/escola-de-conducao-caldas-306021.html; "escola da Quinta do conde muito má super falta de organização alunos com muito tempo de espera fazer aulas" (Google 1★, 04/2022) https://escola-de-conducao.pt/escola-de-conducao-caldas-306021.html; muitas queixas sobre trato dos instrutores</t>
  </si>
  <si>
    <t>Volume alto (729 exames 2021), provável grupo multi-escola, dor em organização/esperas; área do aluno muito antiga</t>
  </si>
  <si>
    <t>http://www.eccaldas.pt/index.php/alunos - "Entrar na Área do Aluno" (Utilizador/Senha), site Joomla de 2012</t>
  </si>
  <si>
    <t>Av. Eng. Luís Paiva e Sousa, 22-B - 2500-329 Caldas da Rainha</t>
  </si>
  <si>
    <t>https://passaprimeira.xyz/distritos-regioes/leiria/concelhos/caldas-da-rainha/escolas/caldas-01297/; http://www.eccaldas.pt/index.php/contactos; http://www.eccaldas.pt/index.php/horarios; https://escola-de-conducao.pt/escola-de-conducao-caldas-306021.html; https://www.bomcondutor.pt/escolas/escola/caldas</t>
  </si>
  <si>
    <t>Lisboa</t>
  </si>
  <si>
    <t>Alenquer</t>
  </si>
  <si>
    <t>Escola de Condução de Alenquer (Segurança Máxima; ex-Ideal de Alenquer)</t>
  </si>
  <si>
    <t>Segurança Máxima (~70 escolas: Grande Lisboa, Setúbal, Madeira)</t>
  </si>
  <si>
    <t>263 711 912</t>
  </si>
  <si>
    <t>963 904 022</t>
  </si>
  <si>
    <t>alenquer@segurancamaxima.pt</t>
  </si>
  <si>
    <t>https://www.segurancamaxima.pt/escolas-de-conducao/escola-de-conducao-de-alenquer/</t>
  </si>
  <si>
    <t>https://www.facebook.com/grupo.seguranca.maxima</t>
  </si>
  <si>
    <t>https://www.instagram.com/seguranca.maxima/</t>
  </si>
  <si>
    <t>Softdrive (gestão/horários) + e-learning do grupo</t>
  </si>
  <si>
    <t>Secretaria/telefone; reviews dizem que se marca 'quando tem disponibilidade e não o aluno'</t>
  </si>
  <si>
    <t>Secretaria dias úteis 09h-20h, Sábado 09h-13h; aulas de condução dias úteis 07h-20h50, Sábado 09h-13h (ABERTO sábado de manhã)</t>
  </si>
  <si>
    <t>AM, A1, A2, A, B, B1, B+E, C, C1, C+E, D, D1, D+E</t>
  </si>
  <si>
    <t>'para marcar aulas é quando tem disponibilidade e não o aluno' (Google, 2022); 'a quase 90 dias a espera de vaga para fazer minha primeira aula prática e ainda a secretária disse que aulas podem ser cancelada' (Google, 2021); 'Atendimento demorado e ineficaz pelo telemóvel' (Google, 2023) - https://escola-de-conducao.pt/escola-de-conducao-seguranca-maxima-de-alenquer-lda-306155.html; Queixa 2019: aluno do Carregado com aulas em Alenquer e informação errada sobre a hora do exame - https://portaldaqueixa.com/brands/seguranca-maxima-escolas-de-conducao/complaints/seguranca-maxima-escolas-de-conducao-marcacao-de-exame-de-mecanica-para-categoria-c-27254919</t>
  </si>
  <si>
    <t>Muita evidência de dor (marcação, esperas, cancelamentos) e maior volume da zona (691). Atenção: grande grupo com decisão centralizada em Lisboa e já usa Softdrive</t>
  </si>
  <si>
    <t>A página da escola liga a https://softdrive.me/#/horario/154 (horários; 154 = n.º IMT da escola) e ao e-learning https://ensinoadistancia.segurancarodoviaria.pt</t>
  </si>
  <si>
    <t>Avenida dos Bombeiros Voluntários, nº 65 - 1º, 2580-289 Alenquer</t>
  </si>
  <si>
    <t>https://www.segurancamaxima.pt/escolas-de-conducao/escola-de-conducao-de-alenquer/; https://escola-de-conducao.pt/escola-de-conducao-seguranca-maxima-de-alenquer-lda-306155.html; https://passaprimeira.xyz/distritos-regioes/lisboa/concelhos/alenquer/escolas/; https://www.imt-ip.pt/wp-content/uploads/2025/01/EscolasdeConducao-2021.pdf</t>
  </si>
  <si>
    <t>Carregado</t>
  </si>
  <si>
    <t>Escola de Condução do Carregado (Segurança Máxima)</t>
  </si>
  <si>
    <t>Segurança Máxima (~70 escolas)</t>
  </si>
  <si>
    <t>263 098 404</t>
  </si>
  <si>
    <t>918 210 710</t>
  </si>
  <si>
    <t>carregado@segurancamaxima.pt</t>
  </si>
  <si>
    <t>https://www.segurancamaxima.pt/escolas-de-conducao/escola-de-conducao-do-carregado/</t>
  </si>
  <si>
    <t>Secretaria/telefone; reviews relatam meses sem conseguir marcar aulas práticas</t>
  </si>
  <si>
    <t>Secretaria dias úteis 09h-20h, Sábado 09h-13h; aulas de condução Sábado 07h-13h (ABERTO sábado de manhã)</t>
  </si>
  <si>
    <t>'estou a 3 meses tentando marcar minhas aulas de condução e a resposta é sempre a mesma, “esse mês está cheio”' (Google, 2022); 'muito desorganizada e não tem professores que sejam suficiente para atender o número grande de alunos' (Google, 2022); 'Não atendem os telefones, nem email' (Google, 2021) - https://escola-de-conducao.pt/escola-de-conducao-maxima-carregado-306104.html; Queixa 2025: informação errada da secretaria sobre licença de aprendizagem - https://portaldaqueixa.com/brands/seguranca-maxima-escolas-de-conducao/complaints/seguranca-maxima-escolas-de-conducao-a-escola-seguranca-maxima-do-carregado-engana-os-alunos-para-ganhar-dinheiro-e-age-de-formas-ilegais-139435325</t>
  </si>
  <si>
    <t>Dor forte e recorrente em marcação de aulas/comunicação + volume alto (646); grupo grande já com Softdrive (decisão em Lisboa)</t>
  </si>
  <si>
    <t>A página da escola liga a https://softdrive.me/#/horario/832 (horários; 832 = n.º IMT) e ao e-learning https://ensinoadistancia.segurancarodoviaria.pt</t>
  </si>
  <si>
    <t>Rua Vaz Monteiro, Lote 33 R/C (Loja D), 2580-505 Carregado</t>
  </si>
  <si>
    <t>https://www.segurancamaxima.pt/escolas-de-conducao/escola-de-conducao-do-carregado/; https://escola-de-conducao.pt/escola-de-conducao-maxima-carregado-306104.html; https://www.imt-ip.pt/wp-content/uploads/2025/01/EscolasdeConducao-2021.pdf; https://passaprimeira.xyz/distritos-regioes/lisboa/concelhos/alenquer/escolas/</t>
  </si>
  <si>
    <t>Coimbra</t>
  </si>
  <si>
    <t>Coimbra (Santa Clara)</t>
  </si>
  <si>
    <t>Escola de Condução Santa Clara</t>
  </si>
  <si>
    <t>Grupo MGA (Escolas MGA, desde 1971) - 5 escolas no distrito</t>
  </si>
  <si>
    <t>239 404 497</t>
  </si>
  <si>
    <t>961 448 305</t>
  </si>
  <si>
    <t>geral@escolasmga.pt</t>
  </si>
  <si>
    <t>https://escolasmga.pt/escolas-de-conducao/coimbra-santa-clara/</t>
  </si>
  <si>
    <t>https://www.facebook.com/escolasgrupomga</t>
  </si>
  <si>
    <t>BDrive</t>
  </si>
  <si>
    <t>Secretaria/telefone; BDrive para alunos registados (funcionalidades não detalhadas no site)</t>
  </si>
  <si>
    <t>Não</t>
  </si>
  <si>
    <t>Seg-Sex 09:00-12:00 / 14:00-19:00; Sábado encerrado (segundo listagem Google)</t>
  </si>
  <si>
    <t>A, A1, A2, B1, B, B automático, BE, C, C1, CE, D, D1, DE, T, veículos adaptados; CAM</t>
  </si>
  <si>
    <t>'Têm um plano mensal de aulas presenciais marcado, pois chega-se a hora da aula, não aparece ninguém para dar aula' (https://escola-de-conducao.pt/escola-de-conducao-santa-clara-grupo-mga-desde-1971-305927.html); 'O plano de aulas teóricas previamente afixado não é cumprido!' (mesma fonte)</t>
  </si>
  <si>
    <t>Grupo multi-escola (5 sites MGA no distrito), maior volume do grupo (979 provas 2021), queixas de aulas não cumpridas/comunicação; usa BDrive mas sem app próprio de marcação</t>
  </si>
  <si>
    <t>https://escolasmga.pt/servicos/plataforma-bdrive/ (link para bdrive.pt, 'Acesso exclusivo a instruendos registados'); também 'Plataforma de Testes' e 'Pré-inscrição Online'</t>
  </si>
  <si>
    <t>Rua Dr. Paulo Quintela, 23, 3030-393 Coimbra</t>
  </si>
  <si>
    <t>https://escolasmga.pt/escolas-de-conducao/; https://escola-de-conducao.pt/escola-de-conducao-santa-clara-grupo-mga-desde-1971-305927.html; https://www.bomcondutor.pt/escolas/escola/santa-clara; https://www.andardemoto.pt/escolas-de-conducao/dir/d/coimbra/c/coimbra/p-2532/escola-de-conducao-santa-clara/; https://www.imt-ip.pt/wp-content/uploads/2025/01/EscolasdeConducao-2021.pdf</t>
  </si>
  <si>
    <t>Santarém</t>
  </si>
  <si>
    <t>Escola de Condução Scallabis</t>
  </si>
  <si>
    <t>Grupo Caldas (11 escolas: Caldas, Louzan, Lizauto, Cardal, Via Maior, Capas Negras, Supertubos, Fica, Nova Setúbal, Scallabis, Nova Viseu)</t>
  </si>
  <si>
    <t>910 403 321</t>
  </si>
  <si>
    <t>yes</t>
  </si>
  <si>
    <t>scallabis@grupocaldas.pt</t>
  </si>
  <si>
    <t>https://grupocaldas.pt/site/ecscallabis/</t>
  </si>
  <si>
    <t>https://www.facebook.com/scallabis/ ; https://www.facebook.com/GrupoCaldasEC</t>
  </si>
  <si>
    <t>https://www.instagram.com/grupocaldas/</t>
  </si>
  <si>
    <t>Telefone/WhatsApp e presencial (secretaria); calendário de teóricas em PDF</t>
  </si>
  <si>
    <t>Secretaria: Seg-Sex 10:00-12:30 e 14:00-20:00; Sábado 09:00-13:00 (ABERTO SÁBADO)</t>
  </si>
  <si>
    <t>A1, A2, A, B</t>
  </si>
  <si>
    <t>'A dificuldade que se tem para marcar (porque desmarcam 70% das vezes e sem avisar)' — https://escola-de-conducao.pt/escola-de-conducao-scallabis-306353.html; 'Tinha aulas de condução de 15 em 15 dias... cerca de 2 anos para concluir a carta' — idem; 'A escola não dá resposta aos pedidos de aulas de condução, o contacto telefónico... não teve qualquer resposta' — idem; 'Staff insuficiente' — idem; 'Nem sequer dão as aulas aos alunos! ... não conseguem marcar as aulas de condução' (Portal da Queixa, set 2023; índice de satisfação 13.9/100) — https://portaldaqueixa.com/brands/escola-de-conducao-scallabis</t>
  </si>
  <si>
    <t>Grupo multi-escola (11 escolas, Grupo Caldas) + fortes queixas sobre marcação/desmarcação de aulas e falta de resposta; sem app próprio. Decisão provavelmente na sede (Caldas da Rainha, 262 877 371, info@eccaldas.pt)</t>
  </si>
  <si>
    <t>Site do grupo só tem formulário de pré-inscrição, botão WhatsApp e PDF mensal 'Calendário de Aulas Teóricas' — sem área do aluno nem app</t>
  </si>
  <si>
    <t>Av. Madre Andaluz 2A, 2000-210 Santarém</t>
  </si>
  <si>
    <t>https://grupocaldas.pt/site/ecscallabis/; https://grupocaldas.pt/site/contactos/; https://escola-de-conducao.pt/escola-de-conducao-scallabis-306353.html; https://portaldaqueixa.com/brands/escola-de-conducao-scallabis; https://www.imt-ip.pt/wp-content/uploads/2025/01/EscolasdeConducao-2021.pdf</t>
  </si>
  <si>
    <t>Batalha</t>
  </si>
  <si>
    <t>Golpilheira (Mouratos)</t>
  </si>
  <si>
    <t>Escola de Condução Batalhense - Batalha (sede)</t>
  </si>
  <si>
    <t>Grupo Batalhense</t>
  </si>
  <si>
    <t>244 767 043</t>
  </si>
  <si>
    <t>917 073 335</t>
  </si>
  <si>
    <t>batalha@batalhense.com</t>
  </si>
  <si>
    <t>https://batalhense.com/escolas/escola-de-conducao-batalhense-batalha/</t>
  </si>
  <si>
    <t>https://www.facebook.com/grupobatalhense</t>
  </si>
  <si>
    <t>https://www.instagram.com/batalhensegrupo/</t>
  </si>
  <si>
    <t>Telefone/secretaria presencial; formulário de inscrição no site</t>
  </si>
  <si>
    <t>Secretaria 2ª-6ª 9h30-12h30 / 14h30-20h; Sábado 9h30-12h30 (ABERTO sábado)</t>
  </si>
  <si>
    <t>A, B, C, D; CAM, TCC, curso de instrutores, carta inclusiva (veículo adaptado)</t>
  </si>
  <si>
    <t>"Instrutora com muita amargura, pouco interesse, constantemente tarde para às aulas" (Google 1★, 01/2024) https://escola-de-conducao.pt/escola-de-conducao-batalhense-306367.html</t>
  </si>
  <si>
    <t>SEDE do Grupo Batalhense (6 escolas, desde 1996, contacto geral 244 767 043) - decisor provável aqui; 445 exames 2021</t>
  </si>
  <si>
    <t>Sem área do aluno/app no site batalhense.com; só formulário de inscrição (contacto). Aulas de código online de apoio (3ª e 5ª).</t>
  </si>
  <si>
    <t>R. Comendador Joaquim Sales, Mouratos, 42 - 2440-042 Batalha</t>
  </si>
  <si>
    <t>https://passaprimeira.xyz/distritos-regioes/leiria/concelhos/batalha/escolas/batalhense-00588/; https://batalhense.com/; https://batalhense.com/escolas/escola-de-conducao-batalhense-batalha/; https://escola-de-conducao.pt/escola-de-conducao-batalhense-306367.html</t>
  </si>
  <si>
    <t>Pombal</t>
  </si>
  <si>
    <t>Clube do Condutor (Escolas de Condução Esteves - Pombal)</t>
  </si>
  <si>
    <t>Escolas de Condução Esteves</t>
  </si>
  <si>
    <t>236 023 907</t>
  </si>
  <si>
    <t>916 844 922</t>
  </si>
  <si>
    <t>clubedocondutor@gmail.com</t>
  </si>
  <si>
    <t>https://ec-esteves.pt/</t>
  </si>
  <si>
    <t>https://www.facebook.com/escolaesteves</t>
  </si>
  <si>
    <t>Telefone/secretaria</t>
  </si>
  <si>
    <t>Secretaria dias úteis 10h-12h / 14h30-19h30; Sábado 10h-12h (ABERTO sábado); aulas de condução sáb 8h-13h</t>
  </si>
  <si>
    <t>"Não achei a professora prestativa em querer ensinar o aluno acabei desistindo" (Google 1★, 2022) https://escola-de-conducao.pt/escola-de-conducao-clube-do-condutor-306908.html</t>
  </si>
  <si>
    <t>Grupo Esteves (3 escolas); 128 exames 2021</t>
  </si>
  <si>
    <t>R. Albergaria dos Doze, 55/57 - 3100-456 Pombal</t>
  </si>
  <si>
    <t>https://passaprimeira.xyz/distritos-regioes/leiria/concelhos/pombal/escolas/clube-do-condutor-01370/; https://ec-esteves.pt/contactos/; https://ec-esteves.pt/horarios/; https://escola-de-conducao.pt/escola-de-conducao-clube-do-condutor-306908.html</t>
  </si>
  <si>
    <t>Escola de Condução Batalhense - Pombal (Triangular)</t>
  </si>
  <si>
    <t>236 218 033</t>
  </si>
  <si>
    <t>919 868 022</t>
  </si>
  <si>
    <t>triangular@batalhense.com</t>
  </si>
  <si>
    <t>https://batalhense.com/escolas/escola-de-conducao-batalhense-pombal-triangular/</t>
  </si>
  <si>
    <t>Secretaria 2ª-6ª 9h30-12h30 / 14h30-19h30; Sábado 9h30-12h30 (ABERTO sábado)</t>
  </si>
  <si>
    <t>A, B, C, D (grupo)</t>
  </si>
  <si>
    <t>"Minha experiência no atendimento não foi dos melhores... não foi passado a informação que desejava" (Google 1★, 01/2023) https://escola-de-conducao.pt/escola-de-conducao-automovel-triangular-lda-306649.html</t>
  </si>
  <si>
    <t>Grupo Batalhense + queixas de atendimento; 314 exames 2021</t>
  </si>
  <si>
    <t>Av. Arquitecto Rosado Correia 3 - 3100-430 Pombal</t>
  </si>
  <si>
    <t>https://passaprimeira.xyz/distritos-regioes/leiria/concelhos/pombal/escolas/triangular-00537/; https://batalhense.com/; https://batalhense.com/escolas/escola-de-conducao-batalhense-pombal-triangular/; https://escola-de-conducao.pt/escola-de-conducao-automovel-triangular-lda-306649.html</t>
  </si>
  <si>
    <t>Figueiró dos Vinhos</t>
  </si>
  <si>
    <t>Escola de Condução Lago Azul - Figueiró dos Vinhos</t>
  </si>
  <si>
    <t>Lago Azul (grupo, segundo bomcondutor)</t>
  </si>
  <si>
    <t>236 551 611</t>
  </si>
  <si>
    <t>https://www.facebook.com/ECLagoAzul</t>
  </si>
  <si>
    <t>"eu tinha de pedir se faz favor para me ajudar e explicar melhor!! fiquei traumatizado com esta escola" (Google 1★, 03/2024) https://escola-de-conducao.pt/escola-de-conducao-lago-azul-lda-307080.html</t>
  </si>
  <si>
    <t>Delegação de grupo (Lago Azul) + queixa recente; volume baixo (86 exames 2021)</t>
  </si>
  <si>
    <t>Av. Dr. Francisco Sá Carneiro - 3260-400 Figueiró dos Vinhos</t>
  </si>
  <si>
    <t>https://passaprimeira.xyz/distritos-regioes/leiria/concelhos/figueiro-dos-vinhos/escolas/lago-azul-figueiro-dos-vinhos-00491/; https://escola-de-conducao.pt/escola-de-conducao-lago-azul-lda-307080.html; https://www.bomcondutor.pt/escolas/escola/lago-azul-figueiro-dos-vinhos</t>
  </si>
  <si>
    <t>Leiria (Nova Leiria)</t>
  </si>
  <si>
    <t>Escola de Condução Batalhense - Leiria (Nova Leiria)</t>
  </si>
  <si>
    <t>244 802 890</t>
  </si>
  <si>
    <t>918 782 380</t>
  </si>
  <si>
    <t>leiria@batalhense.com</t>
  </si>
  <si>
    <t>https://batalhense.com/escolas/escola-de-conducao-batalhense-leiria-nova-leiria/</t>
  </si>
  <si>
    <t>Secretaria 2ª-6ª 9h30-12h30 / 14h30-19h30; Sábado 10h-12h30 (ABERTO sábado de manhã)</t>
  </si>
  <si>
    <t>A, B, C, D (grupo); CAM, TCC, curso de instrutores</t>
  </si>
  <si>
    <t>"A escola nada responde e pelos vistos pouco se importa" (Google, 1★, 2022) https://escola-de-conducao.pt/escola-de-conducao-batalhense-de-leiria-306236.html</t>
  </si>
  <si>
    <t>Grupo multi-escola (6 escolas no distrito: Leiria x2, Batalha, Marinha Grande, Alcobaça, Pombal); maior volume do grupo (535 exames 2021); sem app de aluno</t>
  </si>
  <si>
    <t>Av. Doutor Adelino Amaro da Costa, 2 - 2415-367 Leiria</t>
  </si>
  <si>
    <t>https://passaprimeira.xyz/distritos-regioes/leiria/concelhos/leiria/escolas/batalhense-de-leiria-00872/; https://batalhense.com/; https://batalhense.com/escolas/escola-de-conducao-batalhense-leiria-nova-leiria/; https://escola-de-conducao.pt/escola-de-conducao-batalhense-de-leiria-306236.html; https://www.andardemoto.pt/escolas-de-conducao/dir/d/leiria/c/leiria/p-2191/batalhense-de-leiria/</t>
  </si>
  <si>
    <t>Aveiro</t>
  </si>
  <si>
    <t>Aveiro (centro)</t>
  </si>
  <si>
    <t>Escola de Condução Nova de Aveiro (Bordalo Pinheiro)</t>
  </si>
  <si>
    <t>Grupo Bordalo</t>
  </si>
  <si>
    <t>234 025 683; 234 420 893</t>
  </si>
  <si>
    <t>https://www.facebook.com/pages/Escola-de-condu%C3%A7%C3%A3o-Bordalo-Pinheiro/127727473957013</t>
  </si>
  <si>
    <t>Não divulgado online (sem plataforma de marcação visível)</t>
  </si>
  <si>
    <t>Seg-Sex 10:00-12:30 e 14:00-20:00; Sábado 10:00-12:30 (aberto ao sábado de manhã)</t>
  </si>
  <si>
    <t>"desmarcam aulas à última da hora"; "ser do conhecimento da secretaria que o instrutor não poderia comparecer a uma aula e não me informarem" (10/2023); "A escola tem poucas aulas e poucos horários difíceis de frequentar"; "vai adiando no tempo as aulas e os pedidos de exames" (08/2023); "Recepção ruim. Não fornece informações" (01/2024) — https://escola-de-conducao.pt/nova-de-aveiro-escola-de-conducao-306455.html</t>
  </si>
  <si>
    <t>Grupo Bordalo (multi-escola: Nova de Aveiro, Rainha de Aveiro, Águeda); 2.º maior volume do concelho; dor explícita com desmarcações e falta de comunicação — encaixe direto com notificações push</t>
  </si>
  <si>
    <t>Av. 5 de Outubro, n.º 21, R/C Dt.º, 3800-428 Aveiro (Google: R. Cmte. Rocha e Cunha 3, 3800-126)</t>
  </si>
  <si>
    <t>https://www.bomcondutor.pt/escolas/escola/bordalo-pinheiro-nova-de-aveiro; https://escola-de-conducao.pt/nova-de-aveiro-escola-de-conducao-306455.html (rating Google via snapshot escola-de-conducao.pt); https://passaprimeira.xyz/en/districts-regions/aveiro/municipalities/aveiro/schools/; https://transitoagora.pt/escolas-conducao/aveiro</t>
  </si>
  <si>
    <t>Ferreira do Zêzere</t>
  </si>
  <si>
    <t>Escola de Condução Lago Azul (alvará 'Ferreira do Zêzere')</t>
  </si>
  <si>
    <t>Lago Azul (Ferreira do Zêzere + Figueiró dos Vinhos)</t>
  </si>
  <si>
    <t>249 361 434</t>
  </si>
  <si>
    <t>912 231 788</t>
  </si>
  <si>
    <t>Presencial/telefone</t>
  </si>
  <si>
    <t>Seg-Sex 09:00-13:00 e 15:00-20:00; Sábado 09:00-13:00 (ABERTO sábado)</t>
  </si>
  <si>
    <t>A, B, C, D, E; CAM, ADR</t>
  </si>
  <si>
    <t>'Fiquei muito desagradado com o não cumprimento do horário... nem sequer dado qualquer satisfação' (1/5, 2023, consulta médica na escola) - https://escola-de-conducao.pt/escola-de-conducao-lago-azul-lda-253847.html; 'Não recomendo!' (1/5, 2024) - mesma fonte</t>
  </si>
  <si>
    <t>Grupo multi-site (Ferreira do Zêzere + Figueiró dos Vinhos, este com 86 exames 2021), todas as categorias, queixas de falta de comunicação/horários; rating 3.3. Exames 2021 = entrada IMT 'Ferreira do Zêzere' (mesmo telefone/morada histórica).</t>
  </si>
  <si>
    <t>Uma avaliação refere 'Plataformas de estudo Online e Aplicações para estudar' (e-learning de código, não marcação)</t>
  </si>
  <si>
    <t>Rua Dr. Francisco Sá Carneiro, 30, 2240-353 Ferreira do Zêzere (antes Urb. Quinta do Adro)</t>
  </si>
  <si>
    <t>https://escola-de-conducao.pt/escola-de-conducao-lago-azul-lda-253847.html; https://www.racius.com/escola-de-conducao-lago-azul-lda/; https://www.testesdecodigogratis.com/escola-de-conducao/lago-azul-ferreira-do-zezere/; https://www.andardemoto.pt/escolas-de-conducao/dir/d/santarem/c/ferreira-do-zezere/p-2954/escola-de-conducao-quinta-do-adro/; https://www.imt-ip.pt/wp-content/uploads/2025/01/EscolasdeConducao-2021.pdf</t>
  </si>
  <si>
    <t>Almeirim</t>
  </si>
  <si>
    <t>Escola de Condução Jorge Justino - Almeirim</t>
  </si>
  <si>
    <t>Escolas de Condução Matos (família Tomé; antigo site matosconducao.com, inativo)</t>
  </si>
  <si>
    <t>243 591 755 ; 243 593 590</t>
  </si>
  <si>
    <t>934 100 817</t>
  </si>
  <si>
    <t>Maior volume da zona (672 provas em 2021) e parte do grupo Matos; sem plataforma digital visível</t>
  </si>
  <si>
    <t>Site do grupo matosconducao.com já não resolve (arquivo web 2013-2016 lista: Almeirim J. Justino, Almeirinense, Alpiarça, Azambuja, Cartaxo, Fazendas de Almeirim, Santarém Ribatejana, Pedro de Santarém) — https://web.archive.org/web/2013/http://www.matosconducao.com/matos/4567579683; nenhum portal do aluno visível</t>
  </si>
  <si>
    <t>Av. 25 de Abril, Bloco D (Edifício Sintra de Inverno, r/c), 2080-012 Almeirim</t>
  </si>
  <si>
    <t>https://www.testesdecodigogratis.com/escola-de-conducao/jorge-justino/; https://escolasconducao.com/escola/escola-de-conducao-jorge-justino-lda; https://www.imt-ip.pt/wp-content/uploads/2025/01/EscolasdeConducao-2021.pdf</t>
  </si>
  <si>
    <t>Benavente</t>
  </si>
  <si>
    <t>Escola de Condução Nossa Senhora da Paz</t>
  </si>
  <si>
    <t>Nossa Senhora da Paz (Benavente, Cartaxo, Santarém)</t>
  </si>
  <si>
    <t>263 517 675</t>
  </si>
  <si>
    <t>919 171 910</t>
  </si>
  <si>
    <t>geral@escolaconducao.pt</t>
  </si>
  <si>
    <t>https://www.escolaconducao.pt/</t>
  </si>
  <si>
    <t>https://www.facebook.com/EscolaDeConducaoNossaSraDaPaz/</t>
  </si>
  <si>
    <t>https://www.instagram.com/escolaconducaonsrapaz/</t>
  </si>
  <si>
    <t>Telefone/WhatsApp e formulário de contacto; aulas técnicas 'em conformidade com a disponibilidade do instruendo/instrutor'; sem marcação online</t>
  </si>
  <si>
    <t>Secretaria: Seg-Sex 09:30-12:30 / 14:30-19:30 (sábado não indicado); aulas práticas 08:30-19:30</t>
  </si>
  <si>
    <t>AM, A1, A2, A, B1, B, B+E, C1, C, C+E, D, T3 (mais cursos CAM, TCC, ADR, tacógrafos)</t>
  </si>
  <si>
    <t>'ter que esperar 30 min pra ser atendido, e em dia de consulta marcada pode esperar até 1 hora' / 'nas aulas de condução fazem sempre o mesmo percurso' (nov. 2022) https://portaldaqueixa.com/brands/escola-de-conducao-nossa-senhora-da-paz/complaints/escola-de-conducao-nossa-senhora-da-paz-pior-escola-de-conducao-do-pais-82918222; queixa sobre chumbos e comunicação com a instrutora (jul. 2020) https://portaldaqueixa.com/brands/escola-de-conducao-nossa-senhora-da-paz/complaints/escola-de-conducao-nossa-senhora-da-paz-quero-que-seja-averiguado-o-motivo-de-tanto-chumbo-nesta-escola-43513520</t>
  </si>
  <si>
    <t>Grupo com 3 escolas, todas as categorias, volume alto (524 provas em 2021), presença digital ativa e queixas no Portal da Queixa sobre esperas no atendimento</t>
  </si>
  <si>
    <t>O site tem plataforma de testes online para alunos (link para pugnatrix.com/proexamweb) e anuncia e-learning de código; não se identificou AGEOnline/BDrive/ALSIS. Também tem TikTok @escola.nossasradapaz</t>
  </si>
  <si>
    <t>Rua Joaquim Rodrigues Parracho, Lote 25 R/C Dto, 2130-060 Benavente</t>
  </si>
  <si>
    <t>https://www.escolaconducao.pt/; https://www.escolaconducao.pt/escola.html; https://www.escolaconducao.pt/contactos.html; https://www.escolaconducao.pt/cartas.html; https://www.bomcondutor.pt/escolas/escola/nossa-senhora-da-paz; https://portaldaqueixa.com/brands/escola-de-conducao-nossa-senhora-da-paz/complaints; https://www.imt-ip.pt/wp-content/uploads/2025/01/EscolasdeConducao-2021.pdf</t>
  </si>
  <si>
    <t>Leiria (Guimarota)</t>
  </si>
  <si>
    <t>Escola de Condução Rota do Sol - Leiria</t>
  </si>
  <si>
    <t>Rota do Sol</t>
  </si>
  <si>
    <t>244 828 600</t>
  </si>
  <si>
    <t>escola@rotadosol.pt</t>
  </si>
  <si>
    <t>http://www.rotadosol.pt/</t>
  </si>
  <si>
    <t>https://www.facebook.com/escolarotadosol</t>
  </si>
  <si>
    <t>Telefone/presencial (reviews elogiam flexibilidade de horários ajustados pela secretaria)</t>
  </si>
  <si>
    <t>2ª-6ª 10h-13h / 15h-18h30; Sábado 10h-13h (ABERTO sábado, segundo Google)</t>
  </si>
  <si>
    <t>2 escolas (Leiria + Caranguejeira); 498 exames 2021; muito ativa em reviews (240, 5.0); site obsoleto, sem app</t>
  </si>
  <si>
    <t>Site rotadosol.pt desatualizado (2012), sem área do aluno</t>
  </si>
  <si>
    <t>Praceta Cristiano Schurmann, 55 - 2410-380 Leiria (Guimarota)</t>
  </si>
  <si>
    <t>https://passaprimeira.xyz/distritos-regioes/leiria/concelhos/leiria/escolas/rota-do-sol-00695/; https://escola-de-conducao.pt/escola-de-conducao-rota-do-sol-leiria-306233.html; https://www.bomcondutor.pt/escolas/escola/rota-do-sol-leiria; https://www.andardemoto.pt/escolas-de-conducao/dir/d/leiria/c/leiria/p-2983/escola-de-conducao-rota-do-sol/</t>
  </si>
  <si>
    <t>Escola de Condução Nova Paredes (MegaDriving)</t>
  </si>
  <si>
    <t>MegaDriving</t>
  </si>
  <si>
    <t>263 738 183</t>
  </si>
  <si>
    <t>966 216 719</t>
  </si>
  <si>
    <t>novaparedes.ec@gmail.com</t>
  </si>
  <si>
    <t>https://www.megadriving.com.pt/ec_novaparedes.php</t>
  </si>
  <si>
    <t>https://www.facebook.com/p/Escola-de-Condu%C3%A7%C3%A3o-Nova-Paredes-100057583264805/</t>
  </si>
  <si>
    <t>Presencial/telefone; sem marcação online visível</t>
  </si>
  <si>
    <t>Secretaria 2ª-6ª 10h-13h e 15h-20h; Sábado 10h-13h (ABERTO sábado de manhã; Google indica sábado 09h-13h)</t>
  </si>
  <si>
    <t>Grupo MegaDriving + volume alto (495 provas 2021). Ocupa a morada da antiga 'Bordalo - Alão' listada no bomcondutor (dados desatualizados)</t>
  </si>
  <si>
    <t>Site do grupo (megadriving.com.pt) só tem formulário de contacto e página de inscrição; sem área do aluno nem links para AGEOnline/BDrive/ALSIS</t>
  </si>
  <si>
    <t>Rua Jorge Cunha e Carmo, Lt 35 R/C Direito, 2580-531 Alenquer</t>
  </si>
  <si>
    <t>https://www.megadriving.com.pt/ec_novaparedes.php; https://passaprimeira.xyz/distritos-regioes/lisboa/concelhos/alenquer/escolas/; https://www.imt-ip.pt/wp-content/uploads/2025/01/EscolasdeConducao-2021.pdf; https://escola-de-conducao.pt/escola-de-conducao-nova-paredes-306473.html; https://www.bomcondutor.pt/escolas/escola/bordalo-alao</t>
  </si>
  <si>
    <t>Alcobaça</t>
  </si>
  <si>
    <t>Benedita</t>
  </si>
  <si>
    <t>Escola de Condução Beneditense</t>
  </si>
  <si>
    <t>Grupo Letra (inferido: mesmo telefone 262 929 464 e ficha Google liga a grupoletra.pt)</t>
  </si>
  <si>
    <t>262 929 464</t>
  </si>
  <si>
    <t>http://www.grupoletra.pt/</t>
  </si>
  <si>
    <t>https://www.facebook.com/beneditense</t>
  </si>
  <si>
    <t>Provável Grupo Letra; volume elevado (465 exames 2021)</t>
  </si>
  <si>
    <t>Rua Padre Dr. Fernando Maurício, 2 r/c - 2475-138 Benedita</t>
  </si>
  <si>
    <t>https://passaprimeira.xyz/distritos-regioes/leiria/concelhos/alcobaca/escolas/beneditense-00528/; https://escola-de-conducao.pt/escola-de-conducao-beneditense-lda-307165.html; https://www.bomcondutor.pt/escolas/escola/beneditense</t>
  </si>
  <si>
    <t>Sobral de Monte Agraço</t>
  </si>
  <si>
    <t>Escola de Condução Sobralense (Progresso Sobralense)</t>
  </si>
  <si>
    <t>Sobralense / Arrudense (provável: partilham o telefone 261 941 052)</t>
  </si>
  <si>
    <t>261 941 293; 261 941 052</t>
  </si>
  <si>
    <t>964 648 572</t>
  </si>
  <si>
    <t>https://www.facebook.com/Escola.Sobralense</t>
  </si>
  <si>
    <t>2ª-6ª 09h-13h e 15h-21h; Sábado 09h-13h (ABERTO sábado de manhã) - Google</t>
  </si>
  <si>
    <t>Volume alto (465) + provável grupo com a Arrudense; sem app</t>
  </si>
  <si>
    <t>Avenida Marquês de Pombal, nº 53 Loja Dta, 2590-041 Sobral de Monte Agraço</t>
  </si>
  <si>
    <t>https://www.bomcondutor.pt/escolas/escola/sobralense; https://escola-de-conducao.pt/escola-de-conducao-sobralense-237628.html; https://www.imt-ip.pt/wp-content/uploads/2025/01/EscolasdeConducao-2021.pdf</t>
  </si>
  <si>
    <t>Oliveira do Hospital</t>
  </si>
  <si>
    <t>Escola de Condução Oliveirense (sede Grupo MGA)</t>
  </si>
  <si>
    <t>238 609 505</t>
  </si>
  <si>
    <t>961 448 303; 969 027 540</t>
  </si>
  <si>
    <t>https://escolasmga.pt/escolas-de-conducao/oliveira-do-hospital-oliveirense/</t>
  </si>
  <si>
    <t>Secretaria/telefone; BDrive para alunos registados; oferece 'Carta em 1 mês' com alojamento</t>
  </si>
  <si>
    <t>Seg-Sex 09:00-12:00 / 14:00-19:00; Sábado 09:00-12:00 (aberto ao sábado)</t>
  </si>
  <si>
    <t>'Liguei para obter algumas informações ... o Dono desta escola me responde num tom rude' (2024, https://escola-de-conducao.pt/escola-de-conducao-mga-oliveirense-desde-1971-305796.html)</t>
  </si>
  <si>
    <t>Sede do Grupo MGA (5 escolas no distrito) — decisor do grupo; 594 provas 2021</t>
  </si>
  <si>
    <t>Av. Dr. Carlos Campos, Apartado 1, 3404-909 Oliveira do Hospital</t>
  </si>
  <si>
    <t>https://escolasmga.pt/escolas-de-conducao/; https://escola-de-conducao.pt/escola-de-conducao-mga-oliveirense-desde-1971-305796.html; https://www.andardemoto.pt/escolas-de-conducao/dir/d/coimbra/c/oliveira-do-hospital/p-3313/oliveirense/; https://www.imt-ip.pt/wp-content/uploads/2025/01/EscolasdeConducao-2021.pdf</t>
  </si>
  <si>
    <t>Escola de Condução Ribatejana (Tomé)</t>
  </si>
  <si>
    <t>243 322 500 ; 243 328 512</t>
  </si>
  <si>
    <t>939 349 024</t>
  </si>
  <si>
    <t>ecribatejana@hotmail.com</t>
  </si>
  <si>
    <t>Telefone/presencial</t>
  </si>
  <si>
    <t>Parte do grupo Matos; maior volume do grupo em Santarém (IMT 2021 'Escola de Condução Tomé' = mesma morada/telefone 243 328 512)</t>
  </si>
  <si>
    <t>Largo Infante Santo nº 4, 1º Esq., 2005-246 Santarém</t>
  </si>
  <si>
    <t>https://www.andardemoto.pt/escolas-de-conducao/dir/d/santarem/c/santarem/p-2964/escola-de-conducao-ribatejana/; https://www.testesdecodigogratis.com/escola-de-conducao/ribatejana/; https://www.municipiosefreguesias.pt/entidade/166988/escola-de-conducao-tome--santarem; https://www.imt-ip.pt/wp-content/uploads/2025/01/EscolasdeConducao-2021.pdf</t>
  </si>
  <si>
    <t>Marinha Grande</t>
  </si>
  <si>
    <t>Escola de Condução Batalhense - Marinha Grande</t>
  </si>
  <si>
    <t>244 569 430</t>
  </si>
  <si>
    <t>918 782 381</t>
  </si>
  <si>
    <t>marinha@batalhense.com</t>
  </si>
  <si>
    <t>https://batalhense.com/escolas/escola-de-conducao-batalhense-marinha-grande/</t>
  </si>
  <si>
    <t>Secretaria 2ª-6ª 9h30-12h30 / 14h30-19h30; sábado não indicado no site (provavelmente fechado)</t>
  </si>
  <si>
    <t>Grupo Batalhense (multi-escola); 426 exames 2021</t>
  </si>
  <si>
    <t>R. Alfredo Gândara, 22 - 2430-300 Marinha Grande</t>
  </si>
  <si>
    <t>https://passaprimeira.xyz/distritos-regioes/leiria/concelhos/marinha-grande/escolas/batalhense-da-marinha-grande-00855/; https://batalhense.com/; https://batalhense.com/escolas/escola-de-conducao-batalhense-marinha-grande/</t>
  </si>
  <si>
    <t>Escola de Condução Alcobacense</t>
  </si>
  <si>
    <t>Grupo Letra</t>
  </si>
  <si>
    <t>geral.alcobacense@gmail.com / esc.alcobacense@gmail.com</t>
  </si>
  <si>
    <t>https://www.alcobacense.com/</t>
  </si>
  <si>
    <t>https://www.facebook.com/escconducaoalcobacense/</t>
  </si>
  <si>
    <t>https://www.instagram.com/esc_alcobacense/</t>
  </si>
  <si>
    <t>Telefone/presencial; inscrição por formulário no site</t>
  </si>
  <si>
    <t>2ª-6ª 9h-13h / 14h30-18h30; Sábado 10h-12h (sob consulta)</t>
  </si>
  <si>
    <t>AM, A1, A2, A, B, B+E, condução com tutor, pesados; CAM, TVDE</t>
  </si>
  <si>
    <t>Grupo Letra (Alcobacense + Beneditense + Motoschool + centro de formação); 412 exames 2021</t>
  </si>
  <si>
    <t>Site Webnode com páginas "Mapa de Aulas", "Ensino à Distância" e "Testes de Código" (sem área do aluno/app de marcação)</t>
  </si>
  <si>
    <t>Rua Luís de Camões, 67 Lote A R/C - 2460-014 Alcobaça</t>
  </si>
  <si>
    <t>https://passaprimeira.xyz/distritos-regioes/leiria/concelhos/alcobaca/escolas/alcobacense-00179/; https://grupoletra.pt/alcobacense/; https://grupoletra.pt/contacto/; https://www.alcobacense.com/; https://escola-de-conducao.pt/escola-de-conducao-alcobacense-306702.html</t>
  </si>
  <si>
    <t>Ourém</t>
  </si>
  <si>
    <t>Escola de Condução Ouriense</t>
  </si>
  <si>
    <t>Espada &amp; Oliveira (Ouriense, Fatimense, Caxariense)</t>
  </si>
  <si>
    <t>249 545 208</t>
  </si>
  <si>
    <t>919 537 599 / 933 890 089 / 933 885 930</t>
  </si>
  <si>
    <t>ec-ouriense@espadaeoliveira.com</t>
  </si>
  <si>
    <t>https://www.espadaeoliveira.pt/ouriense.php</t>
  </si>
  <si>
    <t>https://www.facebook.com/pages/ESCOLA-DE-CONDU%C3%87%C3%83O-OURIENSE/117550408321810</t>
  </si>
  <si>
    <t>Telefone/presencial; pré-inscrição por formulário no site</t>
  </si>
  <si>
    <t>Seg-Sex 09:00-12:30 e 14:30-19:30; Sábado 09:00-12:00 (ABERTO sábado)</t>
  </si>
  <si>
    <t>Todas as categorias (A, B, C, D, E); CAM, TCC, tacógrafos</t>
  </si>
  <si>
    <t>Sede de um grupo com 3 escolas (Ourém, Fátima, Caxarias), alvará desde 1956, 524 exames 2021, também centro de formação CAM.</t>
  </si>
  <si>
    <t>Sem área do aluno; testes de código online alojados em educacao-rodoviaria.pt (http://www.educacao-rodoviaria.pt/testesonline/ouriense/); inscrição por formulário web</t>
  </si>
  <si>
    <t>Praceta Prof. António de Oliveira, 4, 2490-502 Ourém</t>
  </si>
  <si>
    <t>https://www.espadaeoliveira.pt/ouriense.php; https://www.espadaeoliveira.pt/contactos_ouriense.php; https://escola-de-conducao.pt/escola-de-conducao-ouriense-306307.html; https://www.testesdecodigogratis.com/escola-de-conducao/ouriense/; https://www.imt-ip.pt/wp-content/uploads/2025/01/EscolasdeConducao-2021.pdf</t>
  </si>
  <si>
    <t>Lourinhã</t>
  </si>
  <si>
    <t>Escola de Condução Dinossauro</t>
  </si>
  <si>
    <t>Bordalo (segundo o bomcondutor; não confirmado)</t>
  </si>
  <si>
    <t>261 419 702</t>
  </si>
  <si>
    <t>Volume alto (410) sem presença digital própria; possivelmente integra o grupo Bordalo (Caldas da Rainha) - confirmar</t>
  </si>
  <si>
    <t>Rua (Casal) Santa Catarina, nº 1, 2530-116 Lourinhã</t>
  </si>
  <si>
    <t>https://www.bomcondutor.pt/escolas/escola/dinossauro; https://www.autonews.pt/escolas-de-conducao/dir/d/lisboa/c/lourinha/p-2359/escola-conducao-dinossauro/; https://passaprimeira.xyz/distritos-regioes/lisboa/concelhos/lourinha/escolas/; https://www.imt-ip.pt/wp-content/uploads/2025/01/EscolasdeConducao-2021.pdf</t>
  </si>
  <si>
    <t>Escola de Condução Esteves - Leiria</t>
  </si>
  <si>
    <t>244 882 600</t>
  </si>
  <si>
    <t>918 732 181</t>
  </si>
  <si>
    <t>escola.esteves@gmail.com</t>
  </si>
  <si>
    <t>Telefone/secretaria; formulário de contacto no site</t>
  </si>
  <si>
    <t>Secretaria dias úteis 9h-12h / 14h-19h30; Sábado 9h30-12h (ABERTO sábado de manhã); aulas de código seg-sáb 10h-12h</t>
  </si>
  <si>
    <t>B, CAM, TCC, tratores agrícolas</t>
  </si>
  <si>
    <t>Grupo com 3 escolas (Leiria, Vieira de Leiria, Clube do Condutor - Pombal); 380 exames 2021; sem app</t>
  </si>
  <si>
    <t>Site WordPress sem área do aluno; link "Testes Online"</t>
  </si>
  <si>
    <t>Estrada da Estação, Lt. 1 - Lj. 52, 2415-440 Leiria (IMT: Rua António Alves Espírito Santo, Lote 1, Loja 92)</t>
  </si>
  <si>
    <t>https://passaprimeira.xyz/distritos-regioes/leiria/concelhos/leiria/escolas/esteves-00766/; https://ec-esteves.pt/contactos/; https://ec-esteves.pt/horarios/; https://escola-de-conducao.pt/escola-de-conducao-esteves-305910.html</t>
  </si>
  <si>
    <t>Cadaval</t>
  </si>
  <si>
    <t>Escola de Condução Auto do Cadaval (MegaDriving)</t>
  </si>
  <si>
    <t>MegaDriving (10 escolas: Cadaval, Painho, Merceana, Alenquer, Lourinhã, Campelos, Bombarral, Caldas da Rainha, Atouguia da Baleia, Castanheira do Ribatejo)</t>
  </si>
  <si>
    <t>262 696 231</t>
  </si>
  <si>
    <t>961 147 180</t>
  </si>
  <si>
    <t>autocadaval.ec@gmail.com</t>
  </si>
  <si>
    <t>https://www.megadriving.com.pt/ec_cadaval.php</t>
  </si>
  <si>
    <t>https://www.facebook.com/MegaDrivingEC/</t>
  </si>
  <si>
    <t>Presencial/telefone; 'Aulas teóricas e práticas em horário alargado, de acordo com as tuas necessidades!' (site); sem marcação online visível</t>
  </si>
  <si>
    <t>Secretaria 2ª-6ª 10h-13h e 15h-20h; Sábado 10h-13h (ABERTO sábado de manhã)</t>
  </si>
  <si>
    <t>Todas as categorias (inclui pesados de passageiros); o grupo dá formação CAM, TCC, ADR, tacógrafos</t>
  </si>
  <si>
    <t>Grupo multi-escola (MegaDriving, 10 escolas, 6 no âmbito) sem app/plataforma de aluno; escola mais antiga da região (1971)</t>
  </si>
  <si>
    <t>Rua D. Fernando, 55 - 1º, 2550-142 Cadaval</t>
  </si>
  <si>
    <t>https://www.megadriving.com.pt/ec_cadaval.php; https://www.megadriving.com.pt/; https://passaprimeira.xyz/distritos-regioes/lisboa/concelhos/cadaval/escolas/; https://www.imt-ip.pt/wp-content/uploads/2025/01/EscolasdeConducao-2021.pdf; https://www.municipiosefreguesias.pt/entidade/166451/escola-de-conducao-auto-do-cadaval</t>
  </si>
  <si>
    <t>Viseu</t>
  </si>
  <si>
    <t>Escolas de Condução Viriato</t>
  </si>
  <si>
    <t>Escolas de Condução Viriato (Viriato + ex-Viseense/Xandey + Etapas &amp; Objectivos)</t>
  </si>
  <si>
    <t>232422907</t>
  </si>
  <si>
    <t>927539210</t>
  </si>
  <si>
    <t>ecviriato@outlook.pt</t>
  </si>
  <si>
    <t>https://ecviriato.pt</t>
  </si>
  <si>
    <t>https://www.facebook.com/escoladeconducaoviriato</t>
  </si>
  <si>
    <t>https://www.instagram.com/escoladeconducaoviriato</t>
  </si>
  <si>
    <t>Área do aluno própria no site (login por NIF + senha, /login/) + inscrição online; fornecedor e funcionalidades desconhecidos</t>
  </si>
  <si>
    <t>Presencial/telefone com a secretaria (avaliações: 'relativamente às marcações de aulas, são super acessíveis'; 'dando bastantes alternativas'); sem evidência de marcação online</t>
  </si>
  <si>
    <t>Seg-Sex 10h-12h, 14h-19h30; Sáb 10h-12h</t>
  </si>
  <si>
    <t>A1, A2, A, B, B1, C, C+E, D (site: única em Viseu com todas as categorias); também CAM, formação de instrutores (Etapas &amp; Objectivos), Condução para Todos</t>
  </si>
  <si>
    <t>Portal da Queixa 31/01/2022 (sem resolução): aluno inscrito em 2019 perde prazo de exame; resposta por telefone 'não havia nada a fazer' - https://portaldaqueixa.com/brands/escola-de-conducao-viriato/complaints/escola-de-conducao-viriato-carta-de-conducao-70821422; Avaliação 1/5 (10/03/2022): 'Justificasse sempre com o Covid. Para tirar uma carta quasse 1 anos' - https://escola-de-conducao.pt/escolas-de-conducao-viriato-306062.html; Portal da Queixa 16/04/2019: demora no exame CAM - https://portaldaqueixa.com/brands/escola-de-conducao-viriato</t>
  </si>
  <si>
    <t>Maior escola do concelho (790 provas 2021); grupo (fusão com Viseense + centro de formação Etapas &amp; Objectivos); sinais de dor documentados; presença social muito ativa (FB 4193 seguidores/46 a falar; IG 1296 posts). Atenção: já tem área do aluno própria (login NIF) - verificar se inclui marcação de aulas.</t>
  </si>
  <si>
    <t>https://ecviriato.pt/login/login.php; https://ecviriato.pt/inscricao-online/</t>
  </si>
  <si>
    <t>Praça de Goa, Lote/Bloco 14 R/C, 3510-069 Viseu</t>
  </si>
  <si>
    <t>https://ecviriato.pt/; https://ecviriato.pt/login/login.php; https://escola-de-conducao.pt/escolas-de-conducao-viriato-306062.html; https://portaldaqueixa.com/brands/escola-de-conducao-viriato; https://www.imt-ip.pt/wp-content/uploads/2025/07/EntidadesReconhecidas-IMT-MinistracaoDeCursosDeFormacao.pdf; https://www.facebook.com/escoladeconducaoviriato; https://www.instagram.com/escoladeconducaoviriato/</t>
  </si>
  <si>
    <t>Vieira de Leiria</t>
  </si>
  <si>
    <t>Escola de Condução Esteves - Vieira de Leiria</t>
  </si>
  <si>
    <t>244 691 902</t>
  </si>
  <si>
    <t>912 265 148</t>
  </si>
  <si>
    <t>escola.esteves.vieira@gmail.com</t>
  </si>
  <si>
    <t>Secretaria dias úteis 10h-12h30 / 14h30-20h; FECHADO ao sábado</t>
  </si>
  <si>
    <t>Grupo Esteves (3 escolas); 346 exames 2021</t>
  </si>
  <si>
    <t>Estádio Tomé Albano Feteira, Rua de Leiria - 2430-773 Vieira de Leiria</t>
  </si>
  <si>
    <t>https://passaprimeira.xyz/distritos-regioes/leiria/concelhos/marinha-grande/escolas/esteves-da-vieira-01170/; https://ec-esteves.pt/contactos/; https://ec-esteves.pt/horarios/; https://escola-de-conducao.pt/escola-de-conducao-esteves-da-vieira-305908.html</t>
  </si>
  <si>
    <t>Fátima</t>
  </si>
  <si>
    <t>Escola de Condução Fatimense</t>
  </si>
  <si>
    <t>249 532 161</t>
  </si>
  <si>
    <t>919 613 040 / 933 890 047</t>
  </si>
  <si>
    <t>ec-fatimense@espadaeoliveira.com</t>
  </si>
  <si>
    <t>https://www.espadaeoliveira.pt/fatimense.php</t>
  </si>
  <si>
    <t>Seg-Sex 10:30-13:00 e 15:00-19:30; Sábado 09:00-12:00 (ABERTO sábado)</t>
  </si>
  <si>
    <t>'Gama de preços muito elevada' (1/5, 2017) - https://escola-de-conducao.pt/escola-de-conducao-fatimense-306031.html</t>
  </si>
  <si>
    <t>Delegação do grupo Espada &amp; Oliveira (3 escolas).</t>
  </si>
  <si>
    <t>Estrada Principal de Fátima, Edifício Fátima, Loja 2 R/C, 2495-552 Fátima</t>
  </si>
  <si>
    <t>https://www.espadaeoliveira.pt/contactos_fatimense.php; https://escola-de-conducao.pt/escola-de-conducao-fatimense-306031.html; https://www.testesdecodigogratis.com/escola-de-conducao/fatimense/; https://www.imt-ip.pt/wp-content/uploads/2025/01/EscolasdeConducao-2021.pdf</t>
  </si>
  <si>
    <t>Santarém (S. Domingos)</t>
  </si>
  <si>
    <t>Escola de Condução Santarém</t>
  </si>
  <si>
    <t>Possível grupo Andrade (Escola de Condução Andrade Lda; mesma morada listada como 'Escola de Condução de Coruche') — a confirmar</t>
  </si>
  <si>
    <t>243 372 579</t>
  </si>
  <si>
    <t>914 895 609</t>
  </si>
  <si>
    <t>geral@ecsantarem.com</t>
  </si>
  <si>
    <t>https://ecsantarem.com/</t>
  </si>
  <si>
    <t>https://www.facebook.com/escoladeconducao.santarem/</t>
  </si>
  <si>
    <t>Telefone/presencial; teóricas sem marcação prévia (site)</t>
  </si>
  <si>
    <t>Site: Semana 09:00-18:00, Sábado 09:00-13:00 (secretaria 2ª-6ª 09:00-12:00/14:30-19:00); aulas práticas 2ª-6ª 09-13/14-20 e Sábado 09:00-13:00; Google: Sáb 09:00-13:00 (ABERTO SÁBADO)</t>
  </si>
  <si>
    <t>A1, A2, A, B, C, CE (+ CAM, ADR, Táxi)</t>
  </si>
  <si>
    <t>'Já tentei ligar mas não atendem, tbm já mandei um e-mail e não tive retorno' — https://escola-de-conducao.pt/escola-de-conducao-de-santarem-306347.html</t>
  </si>
  <si>
    <t>Escola de volume médio-alto com formação profissional (CAM/ADR), sem app/área do aluno, queixa de não atender telefone; possível ligação a Coruche</t>
  </si>
  <si>
    <t>Site WordPress institucional (ecsantarem.com) sem área do aluno, e-learning ou link a plataforma; só formulário de contacto</t>
  </si>
  <si>
    <t>Av. Marquês de Pombal nº 117 R/C (junto à Rotunda da Fonte Luminosa), S. Domingos, 2005-170 Santarém</t>
  </si>
  <si>
    <t>https://ecsantarem.com/; https://escola-de-conducao.pt/escola-de-conducao-de-santarem-306347.html; https://www.andardemoto.pt/escolas-de-conducao/dir/d/santarem/c/santarem/p-2111/escola-de-conducao-de-coruche/; https://escolasconducao.com/escola/escola-de-conducao-andrade-lda; https://www.imt-ip.pt/wp-content/uploads/2025/01/EscolasdeConducao-2021.pdf</t>
  </si>
  <si>
    <t>Arruda dos Vinhos</t>
  </si>
  <si>
    <t>Escola de Condução Automóvel Arrudense</t>
  </si>
  <si>
    <t>263 975 100; 261 941 052</t>
  </si>
  <si>
    <t>https://www.facebook.com/escola.arrudense</t>
  </si>
  <si>
    <t>Provável grupo com a Sobralense (telefone partilhado; diretório refere uma 'Filial A. Vinhos' na mesma morada); volume médio</t>
  </si>
  <si>
    <t>Rua Manuel Policarpo Martins, nº 15 R/C Dto, 2630-110 Arruda dos Vinhos</t>
  </si>
  <si>
    <t>https://www.bomcondutor.pt/escolas/escola/arrudense; https://www.municipiosefreguesias.pt/entidade/166472/escola-de-conducao-automovel-arrudense-lda--arruda-dos-vinhos; https://passaprimeira.xyz/distritos-regioes/lisboa/concelhos/arruda-dos-vinhos/escolas/; https://www.imt-ip.pt/wp-content/uploads/2025/01/EscolasdeConducao-2021.pdf</t>
  </si>
  <si>
    <t>Coimbra (Solum)</t>
  </si>
  <si>
    <t>Escola de Condução Quinta das Flores</t>
  </si>
  <si>
    <t>Possível grupo Capas Negras / Quinta das Flores / Solum (não confirmado)</t>
  </si>
  <si>
    <t>915 742 412</t>
  </si>
  <si>
    <t>https://www.facebook.com/ecquintadasflores/</t>
  </si>
  <si>
    <t>Seg-Sex 10:00-13:00 / 14:00-20:00; Sábado 10:00-13:00 (aberto ao sábado)</t>
  </si>
  <si>
    <t>'não sabe cumprir a sua palavra nem os seus prazos' (https://escola-de-conducao.pt/escola-de-conducao-quinta-das-flores-306247.html); 'péssimo planejamento das últimas aulas de código do dia ficando em sobrelotação' (idem)</t>
  </si>
  <si>
    <t>Volume 454 provas (2021), queixas de planeamento/prazos, provável grupo com Capas Negras/Solum</t>
  </si>
  <si>
    <t>Sem website identificado</t>
  </si>
  <si>
    <t>Av. Dr. Mendes Silva, loja 285, 3030-193 Coimbra</t>
  </si>
  <si>
    <t>https://escola-de-conducao.pt/escola-de-conducao-quinta-das-flores-306247.html; https://www.imt-ip.pt/wp-content/uploads/2025/01/EscolasdeConducao-2021.pdf</t>
  </si>
  <si>
    <t>Pombal (Várzea)</t>
  </si>
  <si>
    <t>Escola de Condução Cardal</t>
  </si>
  <si>
    <t>Provável grupo EC Caldas (inferido)</t>
  </si>
  <si>
    <t>917 774 734</t>
  </si>
  <si>
    <t>http://www.eccaldas.pt/ (ligado na ficha Google)</t>
  </si>
  <si>
    <t>2ª-6ª 10h-12h30 / 14h-20h; Sábado 9h-13h (ABERTO sábado)</t>
  </si>
  <si>
    <t>"Péssimo atendimento, não fornece as informações necessárias, parece que estamos a pedir-lhe favor" (Google 1★, 01/2023) https://escola-de-conducao.pt/escola-de-conducao-cardal-306425.html</t>
  </si>
  <si>
    <t>Ficha Google aponta para eccaldas.pt (provável grupo com EC Caldas/Nova Rainha); queixa de atendimento</t>
  </si>
  <si>
    <t>Av. Heróis do Ultramar, 177 - 3100-462 Pombal (IMT: Rua Marechal António Spínola, Ed. Intermarché, Várzea)</t>
  </si>
  <si>
    <t>https://passaprimeira.xyz/distritos-regioes/leiria/concelhos/pombal/escolas/cardal-01394/; https://escola-de-conducao.pt/escola-de-conducao-cardal-306425.html</t>
  </si>
  <si>
    <t>Escola de Condução Nova Rainha</t>
  </si>
  <si>
    <t>Provável grupo EC Caldas (mesma morada IMT que EC Caldas)</t>
  </si>
  <si>
    <t>Mesma morada IMT que a EC Caldas (provável grupo); 294 exames 2021</t>
  </si>
  <si>
    <t>Rua Cardeal Alpedrinha, 72 A - 2500-843 Caldas da Rainha</t>
  </si>
  <si>
    <t>https://passaprimeira.xyz/distritos-regioes/leiria/concelhos/caldas-da-rainha/escolas/nova-rainha-01333/</t>
  </si>
  <si>
    <t>Figueira da Foz</t>
  </si>
  <si>
    <t>Escola de Condução Abadias</t>
  </si>
  <si>
    <t>Escolas de Condução Abadias (Figueira da Foz + Marinha das Ondas)</t>
  </si>
  <si>
    <t>233 434 846</t>
  </si>
  <si>
    <t>924 064 305</t>
  </si>
  <si>
    <t>https://ecabadias.pt/</t>
  </si>
  <si>
    <t>Página 'Escola de Condução Abadias' (ligada no site)</t>
  </si>
  <si>
    <t>Telefone/WhatsApp</t>
  </si>
  <si>
    <t>Seg-Sex 10:00-13:00 / 14:00-19:00; Sábado 10:00-13:00 (aberto ao sábado)</t>
  </si>
  <si>
    <t>'plataforma fraca para o custo do serviço' (2020, https://escola-de-conducao.pt/escola-de-conducao-abadias-lda-305931.html)</t>
  </si>
  <si>
    <t>Grupo com 2 escolas (Abadias + Marinha das Ondas), 433 provas 2021, site moderno com WhatsApp; portal só cobre teoria — não marcação de aulas</t>
  </si>
  <si>
    <t>Site liga a portal de estudo teórico ensinoadistancia.segurancarodoviaria.pt (perguntas IMT, histórico, contacto com instrutor); WhatsApp (joinchat) no site</t>
  </si>
  <si>
    <t>Rua Dr. Joaquim Sotto Mayor, 101, 3080-300 Figueira da Foz</t>
  </si>
  <si>
    <t>https://ecabadias.pt/; https://escola-de-conducao.pt/escola-de-conducao-abadias-lda-305931.html; https://www.andardemoto.pt/escolas-de-conducao/dir/d/coimbra/c/figueira-da-foz/p-2054/abadias/; https://www.imt-ip.pt/wp-content/uploads/2025/01/EscolasdeConducao-2021.pdf</t>
  </si>
  <si>
    <t>Escola de Condução Capas Negras</t>
  </si>
  <si>
    <t>916 762 665</t>
  </si>
  <si>
    <t>https://www.facebook.com/eccapasnegras</t>
  </si>
  <si>
    <t>https://www.instagram.com/capas_negras/</t>
  </si>
  <si>
    <t>Marcação pela escola (alunos queixam-se de poucas aulas marcadas)</t>
  </si>
  <si>
    <t>Seg-Sex 10:00-20:00; Sábado 10:00-13:00 (aberto ao sábado)</t>
  </si>
  <si>
    <t>'não marcam nem as aulas 2 no máximo 3 mês' (https://escola-de-conducao.pt/escola-de-conducao-capas-negras-306495.html); 'marca 2 aulas por mês quando marca' (idem); 'não possuem comprometimento com os horários agendados' (idem); 2 queixas jun/2024 (https://portaldaqueixa.com/brands/escola-de-conducao-capas-negras)</t>
  </si>
  <si>
    <t>Fortes sinais de dor na marcação de aulas + Instagram ativo + provável grupo com Quinta das Flores/Solum (telemóveis sequenciais e avaliações idênticas)</t>
  </si>
  <si>
    <t>Largo da Portagem, 39, 4º andar, 3000-337 Coimbra</t>
  </si>
  <si>
    <t>https://escola-de-conducao.pt/escola-de-conducao-capas-negras-306495.html; https://portaldaqueixa.com/brands/escola-de-conducao-capas-negras; https://www.imt-ip.pt/wp-content/uploads/2025/01/EscolasdeConducao-2021.pdf</t>
  </si>
  <si>
    <t>Tábua</t>
  </si>
  <si>
    <t>Escola de Condução Automóvel de Tábua / Rota da Estrela (Tábua)</t>
  </si>
  <si>
    <t>Grupo Rota da Estrela (Arganil, Penacova, Tábua + Seia/Nelas/Viseu/Tondela/Gouveia fora do distrito)</t>
  </si>
  <si>
    <t>235 412 151</t>
  </si>
  <si>
    <t>962 806 877</t>
  </si>
  <si>
    <t>Seg-Sex 09:00-12:30 / 14:00-19:30; Sábado 09:00-12:00 (aberto ao sábado)</t>
  </si>
  <si>
    <t>Delegação de grupo multi-site (Rota da Estrela); 283 provas 2021. Nota: mesma morada surge também como 'Filipa Ramos Barros Unipessoal' — possível mudança de titular</t>
  </si>
  <si>
    <t>Site do grupo em baixo</t>
  </si>
  <si>
    <t>Centro Comercial Jardim, R. Dr. Fortunato Vieira das Neves, Loja 11, 3420-324 Tábua</t>
  </si>
  <si>
    <t>https://escola-de-conducao.pt/escola-de-conducao-automovel-de-tabua-307094.html; https://www.andardemoto.pt/escolas-de-conducao/dir/d/coimbra/c/tabua/p-2981/escola-de-conducao-rota-da-estrela/; https://www.andardemoto.pt/escolas-de-conducao/dir/d/coimbra/c/tabua/p-2173/automovel-de-tabua/; https://escola-de-conducao.pt/filipa-ramos-barros-unipessoal-limitada-307659.html; https://www.imt-ip.pt/wp-content/uploads/2025/01/EscolasdeConducao-2021.pdf</t>
  </si>
  <si>
    <t>Escola de Condução Batalhense - Leiria (D. Dinis)</t>
  </si>
  <si>
    <t>244 092 862</t>
  </si>
  <si>
    <t>916 156 426</t>
  </si>
  <si>
    <t>ddinis@batalhense.com</t>
  </si>
  <si>
    <t>https://batalhense.com/escolas/escola-de-conducao-batalhense-leiria-d-dinis/</t>
  </si>
  <si>
    <t>Secretaria 2ª-6ª 10h-12h30 / 14h30-19h30 (2ª e 4ª até 20h); FECHADO ao sábado</t>
  </si>
  <si>
    <t>Delegação do Grupo Batalhense (multi-escola); fechada ao sábado - abordar via sede/Nova Leiria</t>
  </si>
  <si>
    <t>Av. Gen. Humberto Delgado, 275 - 2410-250 Leiria</t>
  </si>
  <si>
    <t>https://passaprimeira.xyz/distritos-regioes/leiria/concelhos/leiria/escolas/d-dinis-00869/; https://batalhense.com/; https://batalhense.com/escolas/escola-de-conducao-batalhense-leiria-d-dinis/; https://escola-de-conducao.pt/escola-de-conducao-d-dinis-grupo-batalhense-306493.html</t>
  </si>
  <si>
    <t>Aguda (Figueiró dos Vinhos)</t>
  </si>
  <si>
    <t>Escola de Condução Avenida (Type Gear II)</t>
  </si>
  <si>
    <t>Arte de Conduzir (segundo bomcondutor)</t>
  </si>
  <si>
    <t>236 551 213</t>
  </si>
  <si>
    <t>https://www.facebook.com/Ensino-em-Movimento-Esc-Condução-Avenida-255848417912117</t>
  </si>
  <si>
    <t>Volume médio (224 exames 2021); possível pertença a grupo "Arte de Conduzir" - confirmar</t>
  </si>
  <si>
    <t>Rua Bombeiros Voluntários, 26 B - 3260-023 Aguda / Figueiró dos Vinhos</t>
  </si>
  <si>
    <t>https://passaprimeira.xyz/distritos-regioes/leiria/concelhos/figueiro-dos-vinhos/escolas/avenida-00628/; https://www.andardemoto.pt/escolas-de-conducao/dir/d/leiria/c/figueiro-dos-vinhos/p-3485/type-gear-ii-escola-de-conducao/; https://www.bomcondutor.pt/escolas/escola/avenida-2</t>
  </si>
  <si>
    <t>Caranguejeira</t>
  </si>
  <si>
    <t>Escola de Condução Rota do Sol - Caranguejeira</t>
  </si>
  <si>
    <t>244 732 680</t>
  </si>
  <si>
    <t>912 921 022</t>
  </si>
  <si>
    <t>http://www.facebook.com/pages/Escola-de-Condu%C3%A7%C3%A3o-Rota-do-Sol/163704730348004</t>
  </si>
  <si>
    <t>2ª-6ª 14h30-21h; Sábado 9h-13h / 14h30-18h (ABERTO sábado)</t>
  </si>
  <si>
    <t>Delegação do grupo Rota do Sol (2 escolas); 233 exames 2021</t>
  </si>
  <si>
    <t>Site rotadosol.pt (2012) sem área do aluno</t>
  </si>
  <si>
    <t>Rua de São Cristóvão, 16 r/c Esq. - 2420-104 Caranguejeira</t>
  </si>
  <si>
    <t>https://passaprimeira.xyz/distritos-regioes/leiria/concelhos/leiria/escolas/rota-do-sol-da-caranguejeira-01114/; http://www.rotadosol.pt/; https://escola-de-conducao.pt/rota-do-sol-escola-de-conducao-306237.html; https://www.andardemoto.pt/escolas-de-conducao/dir/d/leiria/c/leiria/p-2984/escola-de-conducao-rota-do-sol/</t>
  </si>
  <si>
    <t>Cartaxo</t>
  </si>
  <si>
    <t>Escola de Condução José Justino - Cartaxo (Matos)</t>
  </si>
  <si>
    <t>Nossa Senhora da Paz (Benavente, Cartaxo, Santarém) — ex-grupo Matos? | Escolas de Condução Matos (família Tomé; antigo site matosconducao.com, inativo)</t>
  </si>
  <si>
    <t>243 770 072</t>
  </si>
  <si>
    <t>937 702 769</t>
  </si>
  <si>
    <t>eccartaxo@hotmail.com ; cartaxo@escolaconducao.pt</t>
  </si>
  <si>
    <t>https://www.escolaconducao.pt</t>
  </si>
  <si>
    <t>Seg 10:00-13:00/14:00-19:00; Ter-Sex 10:00-13:00/14:30-19:00; Sábado encerrado (Google) | Site NS Paz: atendimento Seg-Sex 09h30-12h30/14h30-19h30</t>
  </si>
  <si>
    <t>'3 aulas por dia (9h, 14h e 19H)... demasiados alunos só para uma escola com muito poucos professores. Pouca organização' — https://escola-de-conducao.pt/matos-306352.html; 'Péssimo, desde o atendimento até as aulas' — idem</t>
  </si>
  <si>
    <t>Grupo Matos + queixas de capacidade/organização de aulas; fechada ao sábado. Morada e telefone constam hoje como delegação Cartaxo da EC Nossa Senhora da Paz (escolaconducao.pt) — confirmar marca atual</t>
  </si>
  <si>
    <t>Rua Serpa Pinto nº 3/5 (3 B, 1º Dto), 2070-116 Cartaxo</t>
  </si>
  <si>
    <t>https://escola-de-conducao.pt/matos-306352.html; https://escola-de-conducao.pt/jorge-manuel-alves-tome-sociedade-unipessoal-lda-307177.html; https://www.andardemoto.pt/escolas-de-conducao/dir/d/santarem/c/cartaxo/; https://www.testesdecodigogratis.com/escola-de-conducao/jose-justino/; https://www.imt-ip.pt/wp-content/uploads/2025/01/EscolasdeConducao-2021.pdf; https://www.escolaconducao.pt/contactos.html</t>
  </si>
  <si>
    <t>Escola de Condução Solum</t>
  </si>
  <si>
    <t>915 742 408</t>
  </si>
  <si>
    <t>'escola diz ter muitos alunos para poucos carros sendo que todas as semanas me têm cancelado aulas práticas' (https://portaldaqueixa.com/brands/escola-de-conducao-solum); 6+ queixas 2025-2026 (incumprimento de aulas práticas), taxa de resposta 0% (idem)</t>
  </si>
  <si>
    <t>Dor explícita e recente com cancelamento semanal de aulas práticas (Portal da Queixa 2025-26); provável grupo com Capas Negras/Quinta das Flores</t>
  </si>
  <si>
    <t>C.C. Girassolum, R. João de Deus Ramos, Loja 317, 3º andar, 3030-328 Coimbra</t>
  </si>
  <si>
    <t>https://escola-de-conducao.pt/escola-de-conducao-solum-306497.html; https://portaldaqueixa.com/brands/escola-de-conducao-solum; https://www.imt-ip.pt/wp-content/uploads/2025/01/EscolasdeConducao-2021.pdf</t>
  </si>
  <si>
    <t>Aveiro (Vera Cruz)</t>
  </si>
  <si>
    <t>Escola de Condução Santos e Gamelas / IP5</t>
  </si>
  <si>
    <t>Grupo IP5</t>
  </si>
  <si>
    <t>234 422 436; 234 421 323</t>
  </si>
  <si>
    <t>939 515 530</t>
  </si>
  <si>
    <t>santosegamelas@grupoip5.pt</t>
  </si>
  <si>
    <t>grupoip5.pt (domínio não resolve em out/2026)</t>
  </si>
  <si>
    <t>https://www.facebook.com/escolaconducao.egamelas</t>
  </si>
  <si>
    <t>Seg-Sex 10:00-12:00 e 14:00-20:00; Sábado 10:00-12:00 (aberto ao sábado de manhã)</t>
  </si>
  <si>
    <t>"desligaram me na cara... Muita falta de competência" (pedido de preço por telefone, 09/2023) https://escola-de-conducao.pt/escola-de-conducao-santos-e-gamelas-306438.html; "mestres a omitir informação" (02/2023) https://escola-de-conducao.pt/escola-de-conducao-santos-e-gamelas-306438.html</t>
  </si>
  <si>
    <t>Grupo IP5 com 2+ escolas em Aveiro (Santos e Gamelas/IP5 + Aveirense); queixas de atendimento telefónico; site do grupo em baixo</t>
  </si>
  <si>
    <t>Site do grupo (grupoip5.pt) inacessível; sem área do aluno identificada</t>
  </si>
  <si>
    <t>Rua do Magistério Primário, 20/24, 3800-212 Aveiro (Google indica Av. Nossa Sra. da Alegria 1 / Av. da Força Aérea Portuguesa 1)</t>
  </si>
  <si>
    <t>https://www.bomcondutor.pt/escolas/escola/santos-gamelas-ip5; https://escola-de-conducao.pt/escola-de-conducao-santos-e-gamelas-306438.html (rating Google via snapshot escola-de-conducao.pt); https://passaprimeira.xyz/en/districts-regions/aveiro/municipalities/aveiro/schools/; https://transitoagora.pt/escolas-conducao/aveiro; https://grupoip5.pt/contactos-ip5.php</t>
  </si>
  <si>
    <t>Escola de Condução Batalhense - Alcobaça</t>
  </si>
  <si>
    <t>262 596 700</t>
  </si>
  <si>
    <t>918 782 384</t>
  </si>
  <si>
    <t>alcobaca@batalhense.com</t>
  </si>
  <si>
    <t>https://batalhense.com/escolas/escola-de-conducao-batalhense-alcobaca/</t>
  </si>
  <si>
    <t>https://www.facebook.com/pages/Escola-de-Condução-Batalhense-de-Alcobaça/102711916581909</t>
  </si>
  <si>
    <t>Secretaria 2ª-6ª 9h30-12h30 / 14h30-20h; Sábado 9h30-12h30 (ABERTO sábado, segundo site)</t>
  </si>
  <si>
    <t>Grupo Batalhense (multi-escola); 204 exames 2021</t>
  </si>
  <si>
    <t>R. Mercedes e Carlos Campeão, 10 - 2460-067 Alcobaça</t>
  </si>
  <si>
    <t>https://passaprimeira.xyz/distritos-regioes/leiria/concelhos/alcobaca/escolas/batalhense-alcobaca-00961/; https://batalhense.com/; https://batalhense.com/escolas/escola-de-conducao-batalhense-alcobaca/; https://escola-de-conducao.pt/escola-de-conducao-batalhense-de-alcobaca-306032.html</t>
  </si>
  <si>
    <t>Escola de Condução A. Figueiredo (MegaDriving)</t>
  </si>
  <si>
    <t>261 422 133</t>
  </si>
  <si>
    <t>968 629 234</t>
  </si>
  <si>
    <t>afigueiro.ec@gmail.com</t>
  </si>
  <si>
    <t>https://www.megadriving.com.pt/ec_a_figueiredo.php</t>
  </si>
  <si>
    <t>Delegação do grupo MegaDriving</t>
  </si>
  <si>
    <t>Avenida de Angola, nº 63, 2530-114 Lourinhã</t>
  </si>
  <si>
    <t>https://www.megadriving.com.pt/ec_a_figueiredo.php; https://passaprimeira.xyz/distritos-regioes/lisboa/concelhos/lourinha/escolas/; https://www.imt-ip.pt/wp-content/uploads/2025/01/EscolasdeConducao-2021.pdf; https://escola-de-conducao.pt/escola-de-conducao-a-figueiredo-306514.html</t>
  </si>
  <si>
    <t>Torres Vedras</t>
  </si>
  <si>
    <t>Campelos</t>
  </si>
  <si>
    <t>Escola de Condução Campelos (MegaDriving)</t>
  </si>
  <si>
    <t>261 437 654</t>
  </si>
  <si>
    <t>925 860 038</t>
  </si>
  <si>
    <t>campelos.ec@gmail.com</t>
  </si>
  <si>
    <t>https://www.megadriving.com.pt/ec_campelos.php</t>
  </si>
  <si>
    <t>Delegação do grupo MegaDriving. Mesmo telefone da 'EC Virtual' (Rua da Cruz 37, Campelos) do bomcondutor e da 'Forming People Lda.' (R. Francisco Antunes 1, Campelos) -&gt; mesma escola, não duplicar</t>
  </si>
  <si>
    <t>Rua das Malhadinhas, 1, 2565-037 Campelos</t>
  </si>
  <si>
    <t>https://www.megadriving.com.pt/ec_campelos.php; https://passaprimeira.xyz/distritos-regioes/lisboa/concelhos/torres-vedras/escolas/; https://www.imt-ip.pt/wp-content/uploads/2025/01/EscolasdeConducao-2021.pdf; https://www.bomcondutor.pt/escolas/escola/virtual; https://portalnacional.com.pt/lisboa/torres-vedras/empresas/ensino/escolas-de-conducao/</t>
  </si>
  <si>
    <t>Aldeia Galega da Merceana</t>
  </si>
  <si>
    <t>Escola de Condução Montejunto (MegaDriving)</t>
  </si>
  <si>
    <t>263 769 259</t>
  </si>
  <si>
    <t>961 655 579</t>
  </si>
  <si>
    <t>montejunto.ec@gmail.com</t>
  </si>
  <si>
    <t>https://www.megadriving.com.pt/ec_montejunto.php</t>
  </si>
  <si>
    <t>Rua 25 de Abril, nº 33 A, 2580-087 Merceana</t>
  </si>
  <si>
    <t>https://www.megadriving.com.pt/ec_montejunto.php; https://passaprimeira.xyz/distritos-regioes/lisboa/concelhos/alenquer/escolas/; https://www.imt-ip.pt/wp-content/uploads/2025/01/EscolasdeConducao-2021.pdf</t>
  </si>
  <si>
    <t>Cantanhede</t>
  </si>
  <si>
    <t>Escola de Condução Marialvas</t>
  </si>
  <si>
    <t>Grupo MAO (Febres + Marialvas/Cantanhede)</t>
  </si>
  <si>
    <t>231 411 433</t>
  </si>
  <si>
    <t>918 106 087</t>
  </si>
  <si>
    <t>cantanhede@grupomao.com</t>
  </si>
  <si>
    <t>http://www.grupomao.com/</t>
  </si>
  <si>
    <t>https://www.facebook.com/ecmarialva/</t>
  </si>
  <si>
    <t>Grupo multi-site (Grupo MAO: Marialvas + Febres), 462 provas 2021, site desatualizado</t>
  </si>
  <si>
    <t>Site grupomao.com é animação Hype antiga, sem área de aluno</t>
  </si>
  <si>
    <t>Rua Luís de Camões, 26, Loja 2, 3060-183 Cantanhede</t>
  </si>
  <si>
    <t>https://www.andardemoto.pt/escolas-de-conducao/dir/d/coimbra/c/cantanhede/p-2822/escola-de-conducao-marialvas/; http://www.grupomao.com/; https://escola-de-conducao.pt/maia-filhos-lda-307207.html; https://www.imt-ip.pt/wp-content/uploads/2025/01/EscolasdeConducao-2021.pdf</t>
  </si>
  <si>
    <t>Lamego</t>
  </si>
  <si>
    <t>Escola de Condução Lamego</t>
  </si>
  <si>
    <t>Grupo AFMG (EC Lamego + EC M.G. Tarouca + EC DS Armamar)</t>
  </si>
  <si>
    <t>254655920</t>
  </si>
  <si>
    <t>933854921</t>
  </si>
  <si>
    <t>https://www.facebook.com/lamego.ec</t>
  </si>
  <si>
    <t>4/5 (escola-de-conducao.pt, proxy)</t>
  </si>
  <si>
    <t>Telefone/presencial (sem plataforma online encontrada)</t>
  </si>
  <si>
    <t>Seg-Sex 9h30-13h e 15h-19h30; Sáb 9h-12h; Dom fechado</t>
  </si>
  <si>
    <t>Avaliação 1/5 sem texto (escola-de-conducao.pt, 26/10/2023) - https://escola-de-conducao.pt/escola-de-conducao-lamego-306445.html; Portal da Queixa: sem página de marca encontrada</t>
  </si>
  <si>
    <t>Grupo multi-site (AFMG: Lamego, Tarouca, Armamar) + volume &gt;400 exames em 2021 + FB ativo (4343 seguidores, posts #grupoafmg) sem app própria</t>
  </si>
  <si>
    <t>Rua Dr. Bernardo Pinheiro de Aragão, nº7 Cave, 5100-118 Lamego</t>
  </si>
  <si>
    <t>https://www.facebook.com/lamego.ec; https://escola-de-conducao.pt/escola-de-conducao-lamego-306445.html; https://www.facebook.com/people/Afmg-Escolas-DE-Condu%C3%A7%C3%A3o/100077324387281/; https://www.facebook.com/afmgescolasconducao/; https://www.andardemoto.pt/escolas-de-conducao/dir/d/viseu/c/lamego/p-3223/lamego/</t>
  </si>
  <si>
    <t>Penacova</t>
  </si>
  <si>
    <t>Escola de Condução Penacova (Rota da Estrela)</t>
  </si>
  <si>
    <t>239 478 765; 239 476 012</t>
  </si>
  <si>
    <t>penacova@rotadaestrela.pt</t>
  </si>
  <si>
    <t>www.rotadaestrela.pt (domínio não resolve)</t>
  </si>
  <si>
    <t>https://www.facebook.com/pages/category/Local-Business/Escola-de-condu%C3%A7%C3%A3o-Penacova-578809955516068/</t>
  </si>
  <si>
    <t>Delegação de grupo multi-site (Rota da Estrela, ~3 escolas no distrito e mais no distrito de Viseu/Guarda); rating Google baixo</t>
  </si>
  <si>
    <t>Rua de São João, 25, 3360-191 Penacova</t>
  </si>
  <si>
    <t>https://www.andardemoto.pt/escolas-de-conducao/dir/d/coimbra/c/penacova/p-3324/penacova/; https://escola-de-conducao.pt/escola-de-conducao-penacova-305917.html; https://www.imt-ip.pt/wp-content/uploads/2025/01/EscolasdeConducao-2021.pdf</t>
  </si>
  <si>
    <t>Santa Comba Dão</t>
  </si>
  <si>
    <t>Escola de Condução 'do Emigrante'</t>
  </si>
  <si>
    <t>Grupo Emigrante</t>
  </si>
  <si>
    <t>232890090; 232880210</t>
  </si>
  <si>
    <t>919311337; 919312427</t>
  </si>
  <si>
    <t>geral@ec-emigrante.com</t>
  </si>
  <si>
    <t>https://www.ec-emigrante.com/</t>
  </si>
  <si>
    <t>https://www.facebook.com/ecemigrante/</t>
  </si>
  <si>
    <t>https://www.instagram.com/ecemigrante/</t>
  </si>
  <si>
    <t>Pré-inscrição online; restante por telefone</t>
  </si>
  <si>
    <t>Seg-Sex 9h-12h e 14h-19h; Sáb 9h-12h</t>
  </si>
  <si>
    <t>A1, A2, A, B, BE, C, CE, D; CAM/ADR/máquinas</t>
  </si>
  <si>
    <t>Não atendem o telefone: 'Estou a ligar para lá a 2 dias e ninguém atende' (2024); 'A 3dias que ligo, envio email, mensagem no Messeger e ninguém responde' (2023) https://escola-de-conducao.pt/escola-de-conducao-do-emigrante-306281.html</t>
  </si>
  <si>
    <t>Sinais de dor (falta de resposta por telefone/email/Messenger); assina 'Grupo Emigrante' (histórico também em Mortágua)</t>
  </si>
  <si>
    <t>Site WordPress com formulário de pré-inscrição; sem área do aluno/app</t>
  </si>
  <si>
    <t>Edifício Nova Estrela, Av. Dr. Sá Carneiro 5, 3440-324 Santa Comba Dão (IMT: Av. Gen. Humberto Delgado 8)</t>
  </si>
  <si>
    <t>https://www.ec-emigrante.com/; https://escola-de-conducao.pt/escola-de-conducao-do-emigrante-306281.html; https://passaprimeira.xyz/distritos-regioes/viseu/concelhos/santa-comba-dao/escolas/emigrante-00545/; https://www.bomcondutor.pt/escolas/escola/do-emigrante; https://www.facebook.com/ecemigrante/</t>
  </si>
  <si>
    <t>Painho</t>
  </si>
  <si>
    <t>Escola de Condução Duarte (MegaDriving)</t>
  </si>
  <si>
    <t>262 741 169</t>
  </si>
  <si>
    <t>968 579 670</t>
  </si>
  <si>
    <t>escolaconducaoduarte@gmail.com</t>
  </si>
  <si>
    <t>https://www.megadriving.com.pt/ec_duarte.php</t>
  </si>
  <si>
    <t>Secretaria 2ª-6ª 15h-20h; Sábado 10h-13h (ABERTO sábado de manhã)</t>
  </si>
  <si>
    <t>Delegação do grupo MegaDriving (decisão provavelmente centralizada); escola pequena</t>
  </si>
  <si>
    <t>Rua Prof. Marcelo Caetano, nº 15 R/C, 2550-429 Painho - Cadaval</t>
  </si>
  <si>
    <t>https://www.megadriving.com.pt/ec_duarte.php; https://passaprimeira.xyz/distritos-regioes/lisboa/concelhos/cadaval/escolas/; https://www.imt-ip.pt/wp-content/uploads/2025/01/EscolasdeConducao-2021.pdf; https://escola-de-conducao.pt/escola-conducao-duarte-306036.html</t>
  </si>
  <si>
    <t>Coimbra (Pedrulha)</t>
  </si>
  <si>
    <t>Escola de Condução Académica</t>
  </si>
  <si>
    <t>239 495 492</t>
  </si>
  <si>
    <t>961 448 306</t>
  </si>
  <si>
    <t>https://escolasmga.pt/escolas-de-conducao/coimbra-academica/</t>
  </si>
  <si>
    <t>Secretaria/telefone; BDrive para alunos registados</t>
  </si>
  <si>
    <t>Parte do Grupo MGA (multi-site); abordar via sede do grupo (Oliveira do Hospital)</t>
  </si>
  <si>
    <t>Urbanização da Pedrulha, Lote 24 R/C, Sala 1 e 2, 3025-248 Coimbra</t>
  </si>
  <si>
    <t>https://escolasmga.pt/escolas-de-conducao/; https://escola-de-conducao.pt/escola-de-conducao-academica-grupo-mga-desde-1971-305918.html; https://www.bomcondutor.pt/escolas/escola/academica-coimbra; https://www.andardemoto.pt/escolas-de-conducao/dir/d/coimbra/c/coimbra/p-2060/academica/; https://www.imt-ip.pt/wp-content/uploads/2025/01/EscolasdeConducao-2021.pdf</t>
  </si>
  <si>
    <t>telefone</t>
  </si>
  <si>
    <t>Escola de Condução Morais (Entreguias)</t>
  </si>
  <si>
    <t>244 823 983</t>
  </si>
  <si>
    <t>https://www.facebook.com/pages/Escola-Condução-Morais/470142536415608</t>
  </si>
  <si>
    <t>2ª-6ª 10h-19h30; FECHADO ao sábado (Google)</t>
  </si>
  <si>
    <t>"Marcar aulas é uma tarefa quase impossível... estão sempre a desmarcar. Comunicação e assertividade péssimas" (Google 1★, 11/2021) https://escola-de-conducao.pt/escola-de-conducao-morais-306562.html; "Agendar aulas era muito complicado com eles, a disponibilidade era muito pouca" (Google 1★, 10/2022) https://escola-de-conducao.pt/escola-de-conducao-morais-306562.html</t>
  </si>
  <si>
    <t>Dor explícita em marcação/desmarcação de aulas e comunicação; volume alto (474 exames 2021). Nota: fechada ao sábado</t>
  </si>
  <si>
    <t>Av. dos Combatentes da Grande Guerra, 48, Edf. Lena, 2º Piso - 2400-122 Leiria</t>
  </si>
  <si>
    <t>https://passaprimeira.xyz/distritos-regioes/leiria/concelhos/leiria/escolas/morais-00336/; https://escola-de-conducao.pt/escola-de-conducao-morais-306562.html; https://www.bomcondutor.pt/escolas/escola/morais; https://www.andardemoto.pt/escolas-de-conducao/dir/d/leiria/c/leiria/p-2315/entreguias/</t>
  </si>
  <si>
    <t>Escola de Condução Motoschool</t>
  </si>
  <si>
    <t>262 097 008 / 262 929 464</t>
  </si>
  <si>
    <t>yes (262 097 008)</t>
  </si>
  <si>
    <t>geral@motoschool.pt</t>
  </si>
  <si>
    <t>https://www.motoschool.pt/</t>
  </si>
  <si>
    <t>https://www.facebook.com/motooschool</t>
  </si>
  <si>
    <t>https://www.instagram.com/motoschool_oficial/</t>
  </si>
  <si>
    <t>Telefone/WhatsApp/presencial</t>
  </si>
  <si>
    <t>2ª-6ª 10h-13h / 14h30-19h; sábado não indicado</t>
  </si>
  <si>
    <t>AM, A1, A2, A, B</t>
  </si>
  <si>
    <t>Grupo Letra; escola jovem e orientada para redes sociais (Instagram, WhatsApp, eventos)</t>
  </si>
  <si>
    <t>Site Webnode com "Calendário", "Ensino à distância" (e-learning Segurança Rodoviária) e loja online; sem área do aluno</t>
  </si>
  <si>
    <t>Rua Capitão Filipe de Sousa, 130A - 2500-140 Caldas da Rainha</t>
  </si>
  <si>
    <t>https://passaprimeira.xyz/distritos-regioes/leiria/concelhos/caldas-da-rainha/escolas/motoschool-01418/; https://www.motoschool.pt/contacto-moto-school/; https://grupoletra.pt/nova-caldense/</t>
  </si>
  <si>
    <t>Entroncamento</t>
  </si>
  <si>
    <t>Escola de Condução do Entroncamento (Oliveira, Santos &amp; Aguiar, Lda.)</t>
  </si>
  <si>
    <t>249 726 672</t>
  </si>
  <si>
    <t>965 190 393 / 966 021 659</t>
  </si>
  <si>
    <t>escconducaoentroncamento@iol.pt (antigo, não confirmado)</t>
  </si>
  <si>
    <t>Seg-Sex 10:00-13:00 e 15:00-19:00; Sábado 11:00-12:00 (ABERTO sábado, só 1 hora)</t>
  </si>
  <si>
    <t>'por duas vezes que lá vou não consegui ser atendida... estive mais de meia hora à espera para ser atendida' (1/5, nov 2023) - https://escola-de-conducao.pt/escola-de-conducao-do-entroncamento-306537.html; 'demora muito para poder obter a carta' (3/5, mar 2024) - mesma fonte</t>
  </si>
  <si>
    <t>Maior volume da zona (606 exames 2021) + queixas de espera/atendimento na secretaria; 'escola mais antiga do Entroncamento'.</t>
  </si>
  <si>
    <t>Rua Almirante Reis, 44 - 1º Esq., 2330-099 Entroncamento</t>
  </si>
  <si>
    <t>https://escola-de-conducao.pt/escola-de-conducao-do-entroncamento-306537.html; https://www.racius.com/escola-de-conducao-do-entroncamento-de-oliveira-santos-aguiar-lda/; https://www.testesdecodigogratis.com/escola-de-conducao/entroncamento/; https://www.andardemoto.pt/escolas-de-conducao/dir/d/santarem/c/entroncamento/p-2645/escola-de-conducao-do-entroncamento-de-oliveira-santos-aguiar/; https://www.imt-ip.pt/wp-content/uploads/2025/01/EscolasdeConducao-2021.pdf</t>
  </si>
  <si>
    <t>A-dos-Cunhados</t>
  </si>
  <si>
    <t>Escola de Condução da Vila (A-dos-Cunhados)</t>
  </si>
  <si>
    <t>261 981 215</t>
  </si>
  <si>
    <t>https://www.escoladeconducaodavila.com/</t>
  </si>
  <si>
    <t>Presencial/telefone; formulário de contacto no site</t>
  </si>
  <si>
    <t>2ª-6ª 10h-20h; Sábado 10h-13h (ABERTO sábado de manhã) - Google</t>
  </si>
  <si>
    <t>'Não sei o motivo de colocar um número de telemóvel se nunca atendem.' (Google, 2023) - https://escola-de-conducao.pt/escola-de-conducao-da-vila-lda-305991.html</t>
  </si>
  <si>
    <t>Sinal de dor (não atendem o telefone); escola pequena com 2 instrutores</t>
  </si>
  <si>
    <t>Site institucional simples (2014), sem área do aluno</t>
  </si>
  <si>
    <t>Rua Monsenhor José Jorge Fialho, Edifício Azenha, Fração A, Loja R/C, 2560-027 A-dos-Cunhados</t>
  </si>
  <si>
    <t>https://www.escoladeconducaodavila.com/contatos; https://escola-de-conducao.pt/escola-de-conducao-da-vila-lda-305991.html; https://passaprimeira.xyz/distritos-regioes/lisboa/concelhos/torres-vedras/escolas/; https://www.imt-ip.pt/wp-content/uploads/2025/01/EscolasdeConducao-2021.pdf</t>
  </si>
  <si>
    <t>Oliveira do Bairro</t>
  </si>
  <si>
    <t>Oiã</t>
  </si>
  <si>
    <t>Escola de Condução de Oiã</t>
  </si>
  <si>
    <t>Escolas Miguel Silva</t>
  </si>
  <si>
    <t>234 723 927</t>
  </si>
  <si>
    <t>968 426 437 / 968 426 438</t>
  </si>
  <si>
    <t>ecms.oia@gmail.com</t>
  </si>
  <si>
    <t>https://escolasmiguelsilva.pt/contact-oia/</t>
  </si>
  <si>
    <t>https://www.facebook.com/escolas.miguel.silva/</t>
  </si>
  <si>
    <t>https://www.instagram.com/escolas.miguel.silva/</t>
  </si>
  <si>
    <t>Telefone/presencial (sem marcação online visível)</t>
  </si>
  <si>
    <t>Seg 09:30–19:00 Ter 09:30–19:00 Qua 09:30–19:00 Qui 09:30–19:00 Sex 09:30–19:00 SÁB 09:00–12:30 Dom Encerrado — aberto sábado de manhã</t>
  </si>
  <si>
    <t>"No inicio sentia que não estavam a entender que realmente eu tinha urgência em começar a avançar com as aulas" (4★, 18/05/2022) https://escola-de-conducao.pt/escola-de-conducao-oia-escolas-miguel-silva-306275.html</t>
  </si>
  <si>
    <t>Grupo multi-sede Escolas Miguel Silva; queixa sobre ritmo de marcação de aulas</t>
  </si>
  <si>
    <t>Site WordPress do grupo só com contactos; sem área do aluno, e-learning ou link de software visível</t>
  </si>
  <si>
    <t>Rua Eng. Agnelo Prazeres nº 45 r/c, 3770-059 Oiã</t>
  </si>
  <si>
    <t>https://escolasmiguelsilva.pt/contact-oia/; https://escola-de-conducao.pt/escola-de-conducao-oia-escolas-miguel-silva-306275.html; https://passaprimeira.xyz/en/districts-regions/aveiro/municipalities/oliveira-do-bairro/schools/; https://www.bomcondutor.pt/escolas/escola/oia</t>
  </si>
  <si>
    <t>Mangualde</t>
  </si>
  <si>
    <t>Escola de Condução Arede (Isabel &amp; Arede) – Mangualde (alvará IMT 100 'Azurara')</t>
  </si>
  <si>
    <t>Isabel &amp; Arede Escolas de Condução (Mangualde, Nelas, Tábua, Fornos de Algodres)</t>
  </si>
  <si>
    <t>232623217</t>
  </si>
  <si>
    <t>911025443</t>
  </si>
  <si>
    <t>https://www.facebook.com/isabelaredeec/</t>
  </si>
  <si>
    <t>https://www.instagram.com/escoladeconducaoarede/</t>
  </si>
  <si>
    <t>Desconhecido</t>
  </si>
  <si>
    <t>Grupo multi-sede (4 escolas: Mangualde sede, Nelas, Tábua, Fornos de Algodres); maior volume da zona (589 provas 2021); Instagram com ~4.050 seguidores</t>
  </si>
  <si>
    <t>Sem website próprio encontrado; sem evidência de área do aluno/app</t>
  </si>
  <si>
    <t>Largo do Rossio 52, 3530-133 Mangualde</t>
  </si>
  <si>
    <t>https://passaprimeira.xyz/distritos-regioes/viseu/concelhos/mangualde/escolas/azurara-00100/; https://www.bomcondutor.pt/escolas/escola/azurara/; https://maisbeiras.sapo.pt/isabelarede-escolas-de-conducao-em-fornos-de-algodres; https://www.testesdecodigogratis.com/escola-de-conducao/arede/; https://www.instagram.com/escoladeconducaoarede/; https://www.facebook.com/isabelaredeec/; https://www.amarelas.pt/c/mangualde-isabel-arede-escola-de-conducao-lda-158742</t>
  </si>
  <si>
    <t>Pedrógão Grande</t>
  </si>
  <si>
    <t>Escola de Condução Pedroguense</t>
  </si>
  <si>
    <t>Escolas Castanheirense / Figueiroense / Pedroguense</t>
  </si>
  <si>
    <t>962 077 383 / 961 533 250</t>
  </si>
  <si>
    <t>ecpedroguense@gmail.com</t>
  </si>
  <si>
    <t>https://www.escolaconducaocastanheirense.pt/</t>
  </si>
  <si>
    <t>Telefone; pré-inscrição online</t>
  </si>
  <si>
    <t>2ª-6ª 7h-21h; Sábado 9h-13h (ABERTO sábado)</t>
  </si>
  <si>
    <t>Grupo de 3 escolas (interior norte do distrito, volume baixo - Castanheirense 16, Figueiroense 17, Pedroguense 45 exames 2021); decisão única para 3 sites</t>
  </si>
  <si>
    <t>Site comum (escolaconducaocastanheirense.pt) com menu "Área do Aluno" que só leva a testes/simuladores e impressos IMT - sem marcação online</t>
  </si>
  <si>
    <t>Urbanização Valbom, Lote 2, sub Cave A/B - 3270-162 Pedrógão Grande</t>
  </si>
  <si>
    <t>https://passaprimeira.xyz/distritos-regioes/leiria/concelhos/pedrogao-grande/escolas/pedroguense-00560/; https://www.escolaconducaocastanheirense.pt/contactos/; https://escola-de-conducao.pt/escola-de-conducao-pedroguense-306837.html</t>
  </si>
  <si>
    <t>Escola de Condução Instromóvel (OKCondutor)</t>
  </si>
  <si>
    <t>261 316 028; 261 316 814</t>
  </si>
  <si>
    <t>914 097 671</t>
  </si>
  <si>
    <t>Secretaria/telefone; reviews relatam grande dificuldade em marcar aulas e aulas desmarcadas de véspera</t>
  </si>
  <si>
    <t>2ª-6ª 10h-20h (Google); sábado não confirmado</t>
  </si>
  <si>
    <t>'Dificuldade gigante em marcar aulas!' (Google, 2023); 'desmarcam inúmeras aulas de véspera ... Há erros na secretaria a marcar exames e provavelmente também as aulas' (Google, 2022); 'a nível de secretariado muito fraco' (Google, 2022); 'A escola não tem organização' (Google, 2020) - https://escola-de-conducao.pt/okcondutor-instromovel-escola-de-conducao-305993.html</t>
  </si>
  <si>
    <t>Forte evidência de dor em marcação/cancelamentos/secretaria</t>
  </si>
  <si>
    <t>Várzea do Choupal, Edifício Choupal R/C Esq., Corpo C, 2560-230 Torres Vedras</t>
  </si>
  <si>
    <t>https://escola-de-conducao.pt/okcondutor-instromovel-escola-de-conducao-305993.html; https://www.municipiosefreguesias.pt/entidade/166725/escola-de-conducao-instromovel-lda--torres-vedras; https://passaprimeira.xyz/distritos-regioes/lisboa/concelhos/torres-vedras/escolas/; https://www.imt-ip.pt/wp-content/uploads/2025/01/EscolasdeConducao-2021.pdf</t>
  </si>
  <si>
    <t>Castanheira de Pera</t>
  </si>
  <si>
    <t>Castanheira de Pêra</t>
  </si>
  <si>
    <t>Escola de Condução Castanheirense</t>
  </si>
  <si>
    <t>eccastanheirense@gmail.com</t>
  </si>
  <si>
    <t>Avenida São Domingos, 51, 1.º - 3280-013 Castanheira de Pêra</t>
  </si>
  <si>
    <t>https://passaprimeira.xyz/distritos-regioes/leiria/concelhos/castanheira-de-pera/escolas/castanheirense-00213/; https://www.escolaconducaocastanheirense.pt/contactos/; https://escola-de-conducao.pt/escola-de-conducao-castanheirense-306231.html</t>
  </si>
  <si>
    <t>Escola de Condução Figueiroense</t>
  </si>
  <si>
    <t>ecfigueiroense@gmail.com</t>
  </si>
  <si>
    <t>Rua Major Neutel Abreu, 1.º Dto - 3260-427 Figueiró dos Vinhos</t>
  </si>
  <si>
    <t>https://passaprimeira.xyz/distritos-regioes/leiria/concelhos/figueiro-dos-vinhos/escolas/figueiroense-00473/; https://www.escolaconducaocastanheirense.pt/contactos/</t>
  </si>
  <si>
    <t>Alvaiázere</t>
  </si>
  <si>
    <t>Escola de Condução de Alvaiázere (Marques &amp; Marques, Lda.)</t>
  </si>
  <si>
    <t>236 655 272</t>
  </si>
  <si>
    <t>"não existirem vagas para marcar aulas... não aconselho" (Google 1★, 06/2023, ficha "Escola de conducão" Alvaiázere) https://escola-de-conducao.pt/escola-de-conducao-305869.html</t>
  </si>
  <si>
    <t>Evidência de dor (falta de vagas para marcar aulas); única escola do concelho (162 exames 2021)</t>
  </si>
  <si>
    <t>Rua Prof. José Maria Castelão - 3250-115 Alvaiázere</t>
  </si>
  <si>
    <t>https://passaprimeira.xyz/distritos-regioes/leiria/concelhos/alvaiazere/escolas/alvaiazere-00239/; https://escola-de-conducao.pt/escola-de-conducao-305869.html; https://escola-de-conducao.pt/marques-marques-lda-306555.html; https://www.andardemoto.pt/escolas-de-conducao/dir/d/leiria/c/alvaiazere/p-2578/escola-de-conducao-de-alvaiazere/</t>
  </si>
  <si>
    <t>Abrantes</t>
  </si>
  <si>
    <t>Escola de Condução Traquina</t>
  </si>
  <si>
    <t>Traquina e Sardoalense (Abrantes + Sardoal)</t>
  </si>
  <si>
    <t>241 372 259</t>
  </si>
  <si>
    <t>https://www.facebook.com/pages/Escolas-Condu%C3%A7%C3%A3o-Traquina-e-Sardoalense/114156232091227</t>
  </si>
  <si>
    <t>Grupo multi-escola (Traquina + Sardoalense, página Facebook conjunta)</t>
  </si>
  <si>
    <t>Rua Cidade de Parthenay, Bloco E, R/C Loja 7, 2200-238 Abrantes</t>
  </si>
  <si>
    <t>https://www.bomcondutor.pt/escolas/escola/traquina; https://www.autonews.pt/escolas-de-conducao/dir/d/santarem/c/abrantes/p-2241/traquina/; https://www.imt-ip.pt/wp-content/uploads/2025/01/EscolasdeConducao-2021.pdf</t>
  </si>
  <si>
    <t>Aveiro (São Bernardo)</t>
  </si>
  <si>
    <t>Escola de Condução Drive IN Aveiro (ex-São Bernardo / Nova de Esgueira)</t>
  </si>
  <si>
    <t>Drive IN</t>
  </si>
  <si>
    <t>924 413 117</t>
  </si>
  <si>
    <t>https://www.facebook.com/EC.Nova.de.Esgueira/</t>
  </si>
  <si>
    <t>Seg-Sex 10:00-12:30 e 14:30-19:30; Sábado 10:00-12:30 (aberto ao sábado de manhã)</t>
  </si>
  <si>
    <t>"tratado como lixo durante aulas práticas, com o instrutor a ouvir música" (11/2023) https://escola-de-conducao.pt/escola-de-conducao-drive-in-aveiro-306690.html</t>
  </si>
  <si>
    <t>Marca Drive IN com 2 escolas (Aveiro + Águeda); nova marca, a reestruturar-se — abertura a ferramentas novas</t>
  </si>
  <si>
    <t>Estrada de São Bernardo / Estrada de Vilar, 53 R/C, 3810-164 Aveiro</t>
  </si>
  <si>
    <t>https://escola-de-conducao.pt/escola-de-conducao-drive-in-aveiro-306690.html (rating Google via snapshot escola-de-conducao.pt); https://passaprimeira.xyz/en/districts-regions/aveiro/municipalities/aveiro/schools/ (licença IMT 1379 'São Bernardo'); https://escola-de-conducao.pt/escola-de-conducao-drive-in-agueda-306420.html</t>
  </si>
  <si>
    <t>Óbidos</t>
  </si>
  <si>
    <t>Gaeiras</t>
  </si>
  <si>
    <t>Escola de Condução Santa Maria de Óbidos</t>
  </si>
  <si>
    <t>262 877 700</t>
  </si>
  <si>
    <t>926 849 566</t>
  </si>
  <si>
    <t>yes (wa.me/926849566)</t>
  </si>
  <si>
    <t>info@grpsantamaria.com</t>
  </si>
  <si>
    <t>https://ec-santamaria.com/</t>
  </si>
  <si>
    <t>https://www.facebook.com/EscolaSantaMariadeObidos/</t>
  </si>
  <si>
    <t>https://www.instagram.com/escola_santa_maria_obidos/</t>
  </si>
  <si>
    <t>Telefone/WhatsApp/secretaria</t>
  </si>
  <si>
    <t>Secretaria 2ª-6ª 9h30-13h / 14h30-20h; Sábado 9h-13h (ABERTO sábado); aulas 7h-24h</t>
  </si>
  <si>
    <t>A, B, C, D, trator agrícola; CAM, ADR, TCC</t>
  </si>
  <si>
    <t>2.º maior volume do distrito (756 exames 2021), programa intensivo "exames em 10 dias" com aulas 7h-24h = logística pesada de marcação; usa WhatsApp/Instagram</t>
  </si>
  <si>
    <t>Site WordPress com link WhatsApp; sem área do aluno/app</t>
  </si>
  <si>
    <t>Estrada Nacional 8, Lote 4 - 2510-737 Gaeiras, Óbidos</t>
  </si>
  <si>
    <t>https://passaprimeira.xyz/distritos-regioes/leiria/concelhos/obidos/escolas/santa-maria-de-obidos-00487/; https://ec-santamaria.com/contactos/; https://escola-de-conducao.pt/escola-de-conducao-santa-maria-de-obidos-306056.html</t>
  </si>
  <si>
    <t>Caxarias</t>
  </si>
  <si>
    <t>Escola de Condução Caxariense</t>
  </si>
  <si>
    <t>249 571 396</t>
  </si>
  <si>
    <t>912 509 255 / 933 890 031</t>
  </si>
  <si>
    <t>ec-caxariense@espadaeoliveira.com</t>
  </si>
  <si>
    <t>https://www.espadaeoliveira.pt/caxariense.php</t>
  </si>
  <si>
    <t>Av. 21 de Junho, 32 R/C Dto., Chã, 2435-087 Caxarias</t>
  </si>
  <si>
    <t>https://www.espadaeoliveira.pt/contactos_caxariense.php; https://www.andardemoto.pt/escolas-de-conducao/dir/d/santarem/c/ourem/p-2529/escola-de-conducao-caxariense/; https://www.imt-ip.pt/wp-content/uploads/2025/01/EscolasdeConducao-2021.pdf</t>
  </si>
  <si>
    <t>Alpiarça</t>
  </si>
  <si>
    <t>Escola de Condução Matos - Alpiarça (EC Alpiarça)</t>
  </si>
  <si>
    <t>243 557 719</t>
  </si>
  <si>
    <t>932 852 252</t>
  </si>
  <si>
    <t>ec-alpiarca@hotmail.com</t>
  </si>
  <si>
    <t>Delegação do grupo Matos</t>
  </si>
  <si>
    <t>Rua Silvestre Bernardo Lima nº 16, 2090-077 Alpiarça</t>
  </si>
  <si>
    <t>https://www.testesdecodigogratis.com/escola-de-conducao/matos-alpiarca/; https://www.andardemoto.pt/escolas-de-conducao/dir/d/santarem/c/alpiarca/p-2577/escola-de-conducao-de-alpiarca/; https://escola-de-conducao.pt/escola-de-conducao-alpiarca-306904.html; https://www.imt-ip.pt/wp-content/uploads/2025/01/EscolasdeConducao-2021.pdf</t>
  </si>
  <si>
    <t>Escola de Condução Matos - Santarém (Pedro de Santarém / Tomé-Pinto Lda)</t>
  </si>
  <si>
    <t>243 332 936</t>
  </si>
  <si>
    <t>932 061 452 ; 919 350 906</t>
  </si>
  <si>
    <t>escola.conducao.tome@gmail.com ; santarem@escolaconducao.pt</t>
  </si>
  <si>
    <t>Telefone/presencial (sem canal online conhecido)</t>
  </si>
  <si>
    <t>Seg-Sex 09:00-20:00; Sábado encerrado (Google) | Site NS Paz: atendimento Seg-Sex 09h30-12h30/14h30-19h30</t>
  </si>
  <si>
    <t>'Seriamente deplorante para tirar a carta, demorado e mal organizado' — https://escola-de-conducao.pt/escola-de-conducao-matos-santarem-306124.html; 'demoram uma eternidade para marcar o exame prático' — idem</t>
  </si>
  <si>
    <t>Sede do grupo Matos (7 escolas no âmbito + Azambuja/Aveiras de Cima); sem plataforma digital, site do grupo morto; queixas de demora/desorganização. Fechada ao sábado — visitar em dia útil. Morada e telefone constam hoje como delegação Santarém da EC Nossa Senhora da Paz (escolaconducao.pt) — confirmar marca atual</t>
  </si>
  <si>
    <t>Rua Pedro de Santarém 130 (1º Esq.), 2000-223 Santarém</t>
  </si>
  <si>
    <t>https://escola-de-conducao.pt/escola-de-conducao-matos-santarem-306124.html; https://escola-de-conducao.pt/escola-de-conducao-tome-pinto-lda-306630.html; https://www.andardemoto.pt/escolas-de-conducao/dir/d/santarem/c/santarem/p-2233/escola-de-conducao-pedro-de-santarem/; https://escolasconducao.com/escola/matos-conducao-lda; https://www.escolaconducao.pt/contactos.html</t>
  </si>
  <si>
    <t>Rio Maior</t>
  </si>
  <si>
    <t>Escola de Condução Via Maior</t>
  </si>
  <si>
    <t>Grupo Caldas (11 escolas: Caldas, Louzan, Lizauto, Cardal, Via Maior, Capas Negras, Supertubos, Fica, Nova Setúbal, Scallabis, Nova Viseu) — antes pertencia ao grupo Matos</t>
  </si>
  <si>
    <t>243 140 906</t>
  </si>
  <si>
    <t>914 098 152</t>
  </si>
  <si>
    <t>viamaior@grupocaldas.pt</t>
  </si>
  <si>
    <t>https://grupocaldas.pt/site/ecviamaior/</t>
  </si>
  <si>
    <t>https://www.facebook.com/ecviamaior</t>
  </si>
  <si>
    <t>https://www.instagram.com/ecviamaior/</t>
  </si>
  <si>
    <t>Secretaria Seg-Sex 10:00-12:30 e 14:00-20:00; Sábado 09:00-13:00 (ABERTO SÁBADO)</t>
  </si>
  <si>
    <t>A1, A2, A2B, B (C, CE, D em parceria c/ EC Bordalo Pinheiro; A, AB c/ EC Caldas)</t>
  </si>
  <si>
    <t>Grupo Caldas (11 escolas) — mesmo decisor que Scallabis; usa WhatsApp e redes sociais (aberto a tecnologia)</t>
  </si>
  <si>
    <t>Site do grupo só com pré-inscrição, WhatsApp e PDF 'Calendário de Aulas Teóricas'; sem área do aluno</t>
  </si>
  <si>
    <t>Rua Madre Teresa de Saldanha nº 5-A, Urb. Pá da Ribeira, 2040-227 Rio Maior</t>
  </si>
  <si>
    <t>https://grupocaldas.pt/site/ecviamaior/; https://grupocaldas.pt/site/contactos/; https://escola-de-conducao.pt/escola-de-conducao-via-maior-306348.html; https://escolasconducao.com/escola/viamaior-2-centro-de-formacao-rodoviaria-lda; https://web.archive.org/web/20160718122825/http://www.matosconducao.com:80/rio-maior/4591278027; https://www.imt-ip.pt/wp-content/uploads/2025/01/EscolasdeConducao-2021.pdf</t>
  </si>
  <si>
    <t>Águeda</t>
  </si>
  <si>
    <t>Escola de Condução Drive IN Águeda</t>
  </si>
  <si>
    <t>924 413 255</t>
  </si>
  <si>
    <t>drive.inlda@gmail.com</t>
  </si>
  <si>
    <t>DriveBox (plataforma online de ensino teórico)</t>
  </si>
  <si>
    <t>Seg 10:00–12:30 14:30–19:30 Ter 10:00–12:30 14:30–19:30 Qua 10:00–12:30 14:30–19:30 Qui 10:00–12:30 14:30–19:30 Sex 10:00–12:30 14:30–19:30 SÁB 10:00–12:30 Dom Encerrado — aberto sábado de manhã</t>
  </si>
  <si>
    <t>"Auto escola, sem ética, sem transparência ... e principalmente suporte de apoio ao aluno" (Portal da Queixa, 20/02/2024) https://portaldaqueixa.com/brands/escola-de-conducao-drive-in/complaints/escola-de-conducao-drive-in-metodologia-duvidosa-e-cobrancas-indevidas-108127424; pedido de reembolso sem resposta no prazo (Portal da Queixa, 30/07/2025) https://portaldaqueixa.com/brands/escola-de-conducao-drive-in/complaints/escola-de-conducao-drive-in-queixa-contra-escola-de-conducao-drive-in-agueda-138294725; "instrutor que fica a jogar cartas e a ler notícias no telemóvel" (1★, 20/01/2024) https://escola-de-conducao.pt/escola-de-conducao-drive-in-agueda-306420.html</t>
  </si>
  <si>
    <t>Multi-sede (Águeda + Aveiro) e várias queixas públicas; já usa plataforma online (DriveBox) — abertura a tecnologia; verificar se cobre marcação/app</t>
  </si>
  <si>
    <t>Queixa no Portal da Queixa (2025) refere contacto "através da plataforma DriveBox"; queixa de 2024 descreve método teórico online com aulas em vídeo e testes bloqueados 48h/€2</t>
  </si>
  <si>
    <t>Rua Joaquim Valente de Almeida 388, 3750-154 Águeda</t>
  </si>
  <si>
    <t>https://escola-de-conducao.pt/escola-de-conducao-drive-in-agueda-306420.html; https://dadosabertos.cm-agueda.pt/dataset/3213f991-5d35-4bef-9e2a-b7794f3598e8 (CM Águeda dados abertos 2023); https://portaldaqueixa.com/brands/escola-de-conducao-drive-in; https://www.racius.com/drive-in-unipessoal-lda/</t>
  </si>
  <si>
    <t>Águeda (EN1, Corga/Recardães)</t>
  </si>
  <si>
    <t>Escola de Condução de Águeda (Nº1 Miguel Silva)</t>
  </si>
  <si>
    <t>234 622 565</t>
  </si>
  <si>
    <t>eca.miguel.agueda@gmail.com</t>
  </si>
  <si>
    <t>https://escolasmiguelsilva.pt/</t>
  </si>
  <si>
    <t>https://www.facebook.com/escolas.miguel.silva/ ; https://pt-pt.facebook.com/ECAMiguelSilva</t>
  </si>
  <si>
    <t>Seg 09:00–19:00 Ter 09:00–19:00 Qua 09:00–19:00 Qui 09:00–19:00 Sex 09:00–19:00 SÁB Encerrado Dom Encerrado — fechado ao sábado</t>
  </si>
  <si>
    <t>"Horrível, não tiveram o mínimo de paciência para ensinar" (1★, 27/02/2024) https://escola-de-conducao.pt/escola-de-conducao-de-agueda-escolas-miguel-silva-306419.html</t>
  </si>
  <si>
    <t>Sede de grupo multi-sede (5 escolas: Águeda, Aguada de Cima, Oiã, Oliveira do Bairro, Palhaça) sem app/plataforma de alunos; volume médio-alto</t>
  </si>
  <si>
    <t>Rua Miguel de Almeida e Silva, EN1 nº 655, 3750-318 Águeda</t>
  </si>
  <si>
    <t>https://escolasmiguelsilva.pt/contact-agueda/; https://escola-de-conducao.pt/escola-de-conducao-de-agueda-escolas-miguel-silva-306419.html; https://passaprimeira.xyz/en/districts-regions/aveiro/municipalities/agueda/schools/; https://dadosabertos.cm-agueda.pt/dataset/3213f991-5d35-4bef-9e2a-b7794f3598e8 (CM Águeda dados abertos 2023)</t>
  </si>
  <si>
    <t>Escola de Condução Aveirense</t>
  </si>
  <si>
    <t>234 429 838</t>
  </si>
  <si>
    <t>939 515 531</t>
  </si>
  <si>
    <t>aveirense@grupoip5.pt</t>
  </si>
  <si>
    <t>grupoip5.pt (domínio não resolve em out/2026); escoladeconducaoaveirense.negocio.site (404)</t>
  </si>
  <si>
    <t>"foi durante uma aula de código que me foi pedido... que avaliássemos a escola com 5 estrelas"; "20 aulas extra e 540€ depois" (10/2023) https://escola-de-conducao.pt/escola-de-conducao-aveirense-306454.html</t>
  </si>
  <si>
    <t>Pertence ao Grupo IP5 (multi-escola); volume médio-alto; presença digital fraca (sites em baixo)</t>
  </si>
  <si>
    <t>Sem site ativo; sem área do aluno identificada</t>
  </si>
  <si>
    <t>Rua Dr. Mário Sacramento / EN, n.º 109, Loja F R/C Dt.º, 3810-104 Aveiro (Google: Rua Dr. Pompeu de Melo Cardoso, loja 11, 3810-106)</t>
  </si>
  <si>
    <t>https://escola-de-conducao.pt/escola-de-conducao-aveirense-306454.html (rating Google via snapshot escola-de-conducao.pt); https://passaprimeira.xyz/en/districts-regions/aveiro/municipalities/aveiro/schools/; https://grupoip5.pt/contactos-aveirense.php; https://www.andardemoto.pt/escolas-de-conducao/dir/d/aveiro/c/aveiro/p-2175/aveirense/</t>
  </si>
  <si>
    <t>Escola de Condução de Oliveira do Bairro</t>
  </si>
  <si>
    <t>234 748 613</t>
  </si>
  <si>
    <t>ecobform@gmail.com</t>
  </si>
  <si>
    <t>https://escolasmiguelsilva.pt/contact-oliveira/</t>
  </si>
  <si>
    <t>Seg 09:00–19:00 Ter 09:00–19:00 Qua 09:00–19:00 Qui 09:00–19:00 Sex 09:00–19:00 SÁB 10:00–12:00 Dom Encerrado — aberto sábado de manhã</t>
  </si>
  <si>
    <t>"Fiquei frustrada com a Escola por vezes" (3★, 04/10/2023) https://escola-de-conducao.pt/escola-de-conducao-oliveira-do-bairro-escolas-miguel-silva-306529.html</t>
  </si>
  <si>
    <t>Grupo multi-sede Escolas Miguel Silva; volume relevante (218 exames 2021); sem app</t>
  </si>
  <si>
    <t>Rua da Misericórdia, nº 2 r/c, 3770-215 Oliveira do Bairro</t>
  </si>
  <si>
    <t>https://escolasmiguelsilva.pt/contact-oliveira/; https://escola-de-conducao.pt/escola-de-conducao-oliveira-do-bairro-escolas-miguel-silva-306529.html; https://passaprimeira.xyz/en/districts-regions/aveiro/municipalities/oliveira-do-bairro/schools/; https://www.bomcondutor.pt/escolas/escola/oliveira-do-bairro</t>
  </si>
  <si>
    <t>Escola de Condução FICA</t>
  </si>
  <si>
    <t>Escola de Condução FICA (Oliveira do Hospital + Coimbra)</t>
  </si>
  <si>
    <t>238 605 761; 238 605 762</t>
  </si>
  <si>
    <t>geral@escolafica.pt</t>
  </si>
  <si>
    <t>www.escolafica.pt (não responde)</t>
  </si>
  <si>
    <t>https://www.facebook.com/pages/Escola-de-Condu%C3%A7%C3%A3o-FICA/324266437679152</t>
  </si>
  <si>
    <t>Seg-Qui 09:00-12:30 / 14:00-19:00; Sex 09:00-19:00; Sábado 09:00-13:00 (aberto ao sábado)</t>
  </si>
  <si>
    <t>Grupo multi-site (FICA: Oliveira do Hospital + Coimbra)</t>
  </si>
  <si>
    <t>Website inacessível</t>
  </si>
  <si>
    <t>Rua António Nobre, 16-A (ficha Google: R. Ameal 9A r/c, 3400-101), 3400-084 Oliveira do Hospital</t>
  </si>
  <si>
    <t>https://www.bomcondutor.pt/escolas/escola/fica; https://escola-de-conducao.pt/escola-de-conducao-fica-lda-306442.html; https://www.andardemoto.pt/escolas-de-conducao/dir/d/coimbra/c/oliveira-do-hospital/p-2695/escola-de-conducao-fica/; https://www.imt-ip.pt/wp-content/uploads/2025/01/EscolasdeConducao-2021.pdf</t>
  </si>
  <si>
    <t>Escola de Condução Florbela</t>
  </si>
  <si>
    <t>233 423 100</t>
  </si>
  <si>
    <t>961 448 308</t>
  </si>
  <si>
    <t>https://escolasmga.pt/escolas-de-conducao/figueira-da-foz-florbela/</t>
  </si>
  <si>
    <t>Seg-Sex 08:30-12:00 / 14:00-19:00; Sábado 08:30-12:00 (aberto ao sábado)</t>
  </si>
  <si>
    <t>Delegação do Grupo MGA (multi-site)</t>
  </si>
  <si>
    <t>Rua Dr. José Jardim, 22, 1º, 3080-066 Figueira da Foz</t>
  </si>
  <si>
    <t>https://escolasmga.pt/escolas-de-conducao/; https://escola-de-conducao.pt/escola-de-conducao-florbela-grupo-mga-desde-1971-305934.html; https://www.imt-ip.pt/wp-content/uploads/2025/01/EscolasdeConducao-2021.pdf</t>
  </si>
  <si>
    <t>Marinha das Ondas</t>
  </si>
  <si>
    <t>Escola de Condução Marinha das Ondas</t>
  </si>
  <si>
    <t>233 098 213</t>
  </si>
  <si>
    <t>916 633 701</t>
  </si>
  <si>
    <t>Página 'Escola de Condução Marinha das Ondas' (ligada no site)</t>
  </si>
  <si>
    <t>Delegação do grupo Abadias (multi-site)</t>
  </si>
  <si>
    <t>Mesmo site/portal teórico do grupo Abadias (ensinoadistancia.segurancarodoviaria.pt)</t>
  </si>
  <si>
    <t>Rua dos Alentejeiros, 22, 3090-485 Marinha das Ondas</t>
  </si>
  <si>
    <t>https://ecabadias.pt/; https://www.imt-ip.pt/wp-content/uploads/2025/01/EscolasdeConducao-2021.pdf</t>
  </si>
  <si>
    <t>Escola de Condução Nossa Senhora de Fátima</t>
  </si>
  <si>
    <t>235 413 830</t>
  </si>
  <si>
    <t>961 448 313</t>
  </si>
  <si>
    <t>https://escolasmga.pt/escolas-de-conducao/tabua-na-sra-de-fatima/</t>
  </si>
  <si>
    <t>Av. Dr. Castanheira Figueiredo, Bloco 2 R/C, 3420-302 Tábua</t>
  </si>
  <si>
    <t>https://escolasmga.pt/escolas-de-conducao/; https://escola-de-conducao.pt/escola-de-conducao-nossa-senhora-de-fatima-grupo-mga-desde-1971-306565.html; https://www.imt-ip.pt/wp-content/uploads/2025/01/EscolasdeConducao-2021.pdf</t>
  </si>
  <si>
    <t>Escola de Condução Nova em Águeda</t>
  </si>
  <si>
    <t>234 029 745</t>
  </si>
  <si>
    <t>917 352 640</t>
  </si>
  <si>
    <t>novaagueda@grupobordalo.pt</t>
  </si>
  <si>
    <t>https://grupobordalo.pt/ (sem conteúdo acessível)</t>
  </si>
  <si>
    <t>https://www.facebook.com/ECNOVAAGUEDA/</t>
  </si>
  <si>
    <t>Parte do Grupo Bordalo (multi-escola: Nova de Aveiro, Rainha de Aveiro, Caldas da Rainha...); 322 exames 2021</t>
  </si>
  <si>
    <t>grupobordalo.pt devolve página vazia; sem evidência de software</t>
  </si>
  <si>
    <t>Rua Armando Castela nº 1/3, R/C Centro, Fração A, 3750-124 Águeda</t>
  </si>
  <si>
    <t>https://dadosabertos.cm-agueda.pt/dataset/3213f991-5d35-4bef-9e2a-b7794f3598e8 (CM Águeda dados abertos 2023); https://www.testesdecodigogratis.com/escola-de-conducao/nova-em-agueda/; https://passaprimeira.xyz/en/districts-regions/aveiro/municipalities/agueda/schools/; https://www.facebook.com/ECNOVAAGUEDA/</t>
  </si>
  <si>
    <t>Escola de Condução Carmona (Escortamega - Ensino de Condução Automóvel, Lda.)</t>
  </si>
  <si>
    <t>249 716 150</t>
  </si>
  <si>
    <t>https://www.facebook.com/escoladeconducao.carmona</t>
  </si>
  <si>
    <t>'Muito mau, falta de respeito e de pedagogia, fazem o que querem' (1/5, 2018) - https://escola-de-conducao.pt/escortamega-ensino-de-conducao-automovel-lda-306710.html</t>
  </si>
  <si>
    <t>Volume médio; a Escortamega só tem contas públicas até 2016 - confirmar a entidade exploradora atual e se está ativa.</t>
  </si>
  <si>
    <t>Rua da Junta de Freguesia - Shopping Parque, Loja 14, 2330-114 Entroncamento</t>
  </si>
  <si>
    <t>https://escola-de-conducao.pt/escortamega-ensino-de-conducao-automovel-lda-306710.html; https://www.racius.com/escortamega-ensino-de-conducao-automovel-lda/; https://www.testesdecodigogratis.com/escola-de-conducao/carmona/; https://www.imt-ip.pt/wp-content/uploads/2025/01/EscolasdeConducao-2021.pdf</t>
  </si>
  <si>
    <t>Sardoal</t>
  </si>
  <si>
    <t>Escola de Condução do Sardoal / Sardoalense</t>
  </si>
  <si>
    <t>241 855 354</t>
  </si>
  <si>
    <t>Faz parte do grupo Traquina e Sardoalense (multi-escola); volume pequeno</t>
  </si>
  <si>
    <t>Avenida Heróis do Ultramar, N.º 16, 2230-224 Sardoal</t>
  </si>
  <si>
    <t>https://www.bomcondutor.pt/escolas/escola/do-sardoal; https://www.autonews.pt/escolas-de-conducao/dir/d/santarem/c/sardoal/p-2624/escola-de-conducao-de-sardoal/; https://escolasconducao.com/escola/escola-de-conducao-sardoalense-lda; https://www.imt-ip.pt/wp-content/uploads/2025/01/EscolasdeConducao-2021.pdf</t>
  </si>
  <si>
    <t>Castro Daire</t>
  </si>
  <si>
    <t>Escola de Condução Castrense</t>
  </si>
  <si>
    <t>João &amp; Vaz, Lda. (NIF 505085976) — Castrense (Castro Daire) + Cinfanense/S. João (Cinfães)</t>
  </si>
  <si>
    <t>232382246</t>
  </si>
  <si>
    <t>https://www.facebook.com/people/Escola-de-Condu%C3%A7%C3%A3o-Castrense/100053483172924/</t>
  </si>
  <si>
    <t>2.9 (escola-de-conducao.pt (agregado, não confirmado como Google))</t>
  </si>
  <si>
    <t>Seg-Sex 9h-19h; Sáb: fechado</t>
  </si>
  <si>
    <t>A; B; C; CE (motociclos, ligeiros, pesados e pesados com reboque)</t>
  </si>
  <si>
    <t>Classificação média baixa (2.9/5 em 7 avaliações agregadas no escola-de-conducao.pt) — texto das avaliações negativas não disponível</t>
  </si>
  <si>
    <t>Grupo multi-escola (mesma sociedade João &amp; Vaz Lda. detém Cinfanense em Cinfães); Facebook ativo (1299 seguidores, 47 'falam sobre isto'); rating agregado baixo (2.9).</t>
  </si>
  <si>
    <t>Av. João Rodrigues Cabrilho, 9 / Bloco 2, R/C Esq., 3600-191 Castro Daire</t>
  </si>
  <si>
    <t>https://www.racius.com/joao-vaz-lda/; https://codigopostal.ciberforma.pt/dir/505085976/joao-vaz-lda/; https://escola-de-conducao.pt/escola-de-conducao-castrense-306151.html; https://www.facebook.com/p/Escola-de-Condu%C3%A7%C3%A3o-Castrense-100053483172924/; https://www.andardemoto.pt/escolas-de-conducao/dir/d/viseu/c/castro-daire/p-2528/escola-de-conducao-castrense/</t>
  </si>
  <si>
    <t>Escola de Condução Nova Viseu</t>
  </si>
  <si>
    <t>Grupo Caldas (11 escolas de condução)</t>
  </si>
  <si>
    <t>232095570; 262877371 (sede Grupo Caldas)</t>
  </si>
  <si>
    <t>910145020</t>
  </si>
  <si>
    <t>novaviseu@grupocaldas.pt; ecnovaviseu@gmail.com</t>
  </si>
  <si>
    <t>https://grupocaldas.pt/site/ecnovaviseu/</t>
  </si>
  <si>
    <t>https://www.facebook.com/ecnovaviseu/</t>
  </si>
  <si>
    <t>https://www.instagram.com/ecnova_viseu/</t>
  </si>
  <si>
    <t>Nenhum visível (site do grupo com calendário por escola, sem área do aluno/app)</t>
  </si>
  <si>
    <t>Telefone/WhatsApp (wa.me/+351910145020 no site)</t>
  </si>
  <si>
    <t>Secretaria: Seg-Sex 9h-12h30, 14h-19h; Sáb 9h-13h</t>
  </si>
  <si>
    <t>Portal da Queixa (Nova Viseu) 23/08/2019: pedido de devolução de 499€ - https://portaldaqueixa.com/brands/escola-de-conducao-nova-viseu; Nível do grupo (marca Escola de Condução Caldas, não Viseu): índice de satisfação 10.1/100, queixas 'Falta de Agendamento' (26/07/2023) e 'Tempo de Espera' para marcar aulas práticas (28/09/2022) - https://portaldaqueixa.com/brands/escola-de-conducao-caldas</t>
  </si>
  <si>
    <t>Grupo multi-escola (Grupo Caldas, 11 escolas) com queixas de agendamento a nível de grupo; decisão provavelmente na sede (Caldas da Rainha). IG ativo (549 posts).</t>
  </si>
  <si>
    <t>Rua Camilo Castelo Branco, Lote 8, Urb. Quinta das Mesuras, 3500-225 Viseu</t>
  </si>
  <si>
    <t>https://grupocaldas.pt/site/ecnovaviseu/; https://grupocaldas.pt/; https://portaldaqueixa.com/brands/escola-de-conducao-nova-viseu; https://portaldaqueixa.com/brands/escola-de-conducao-caldas; https://www.facebook.com/ecnovaviseu/; https://www.instagram.com/ecnova_viseu/</t>
  </si>
  <si>
    <t>Castelo Branco</t>
  </si>
  <si>
    <t>Técnica do Volante</t>
  </si>
  <si>
    <t>Técnica do Volante (Castelo Branco + Centro de Formação Lisboa-Expo)</t>
  </si>
  <si>
    <t>272342028</t>
  </si>
  <si>
    <t>968778750</t>
  </si>
  <si>
    <t>info@tecnicadovolante.com</t>
  </si>
  <si>
    <t>https://www.tecnicadovolante.com</t>
  </si>
  <si>
    <t>https://www.facebook.com/tecnicadovolante</t>
  </si>
  <si>
    <t>Aulas teóricas em horário fixo; aulas de sábado 'por marcação' (site); contacto telefónico</t>
  </si>
  <si>
    <t>Secretaria Seg-Sex 09:00-13:00, 14:00-19:00; Sábado 09:00-13:00 (aberto); aulas práticas 08:00-20:00</t>
  </si>
  <si>
    <t>A1, A2, A, B, C, CE, D, CAM</t>
  </si>
  <si>
    <t>Multi-sítio (CB + centro de formação em Lisboa) e grande volume (426); discurso de 'inovação/tecnologia'</t>
  </si>
  <si>
    <t>Link para plataforma de testes ProExamWeb (proexamweb.com) em tecnicadovolante.com/ensino.html; refere 'ensino virtual' para aulas teóricas; sem área do aluno de marcação</t>
  </si>
  <si>
    <t>Av. 1º de Maio, 49 - S/L Dto, 6000-086 Castelo Branco</t>
  </si>
  <si>
    <t>https://escola-de-conducao.pt/tecnica-do-volante-306783.html; https://passaprimeira.xyz/distritos-regioes/castelo-branco/concelhos/castelo-branco/escolas/tecnica-do-volante-00496/; https://tecnicadovolante.com/contactos.html; https://tecnicadovolante.com/ensino.html; https://tecnicadovolante.com/escola.html; https://escolasconducao.com/escola/escola-de-conducao-tecnica-do-volante-unipessoal-lda</t>
  </si>
  <si>
    <t>Escola de Condução Abranjovem (Abrantes)</t>
  </si>
  <si>
    <t>Abranjovem (Abrantes + Mação)</t>
  </si>
  <si>
    <t>241 364 138</t>
  </si>
  <si>
    <t>https://www.facebook.com/Abranjovem/</t>
  </si>
  <si>
    <t>Marca com duas escolas (Abrantes e Mação); não identificada pelo nome no relatório IMT 2021, por isso convém confirmar que a escola de Abrantes ainda funciona</t>
  </si>
  <si>
    <t>Rua Infante D. Luís 60, 1º D, 2200-090 Abrantes</t>
  </si>
  <si>
    <t>https://www.autonews.pt/escolas-de-conducao/dir/d/santarem/c/abrantes/p-2242/abranjovem/; https://www.facebook.com/Abranjovem/; https://educacao-rodoviaria.pt/ensino/escolas/?loc=129&amp;zona=4</t>
  </si>
  <si>
    <t>Mação</t>
  </si>
  <si>
    <t>Escola de Condução Abranjovem (Mação)</t>
  </si>
  <si>
    <t>Marca com duas escolas (Abrantes e Mação); Facebook com 425 seguidores. O relatório IMT 2021 tem uma 'Escola de Condução Mação' com 96 provas que pode ser esta, mas não foi confirmado</t>
  </si>
  <si>
    <t>Mação (ao lado dos correios)</t>
  </si>
  <si>
    <t>Escola de Condução Almeirinense</t>
  </si>
  <si>
    <t>243 592 451</t>
  </si>
  <si>
    <t>934 624 220</t>
  </si>
  <si>
    <t>ecalmeirinense@hotmail.com</t>
  </si>
  <si>
    <t>Parte do grupo Matos (multi-escola)</t>
  </si>
  <si>
    <t>Rua das Faias 10-12, 2080-086 Almeirim</t>
  </si>
  <si>
    <t>https://www.andardemoto.pt/escolas-de-conducao/dir/d/santarem/c/almeirim/; https://www.testesdecodigogratis.com/escola-de-conducao/almeirinense/</t>
  </si>
  <si>
    <t>Escola de Condução Caseiro &amp; Sá, Lda.</t>
  </si>
  <si>
    <t>Nossa Senhora da Paz (provável)</t>
  </si>
  <si>
    <t>Só listada num diretório (coordenadas em Santarém, indicativo 263); sem avaliações — verificar se está ativa. Telefone 263 517 675 é o da EC Nossa Senhora da Paz (Benavente) — provável entidade/registo associado ao grupo, não escola distinta</t>
  </si>
  <si>
    <t>Rua Doutor Eduardo F. Almeida 46, Ribasor, Santarém</t>
  </si>
  <si>
    <t>https://escola-de-conducao.pt/escola-de-conducao-caseiro-sa-lda-308942.html; https://www.escolaconducao.pt/contactos.html</t>
  </si>
  <si>
    <t>Fazendas de Almeirim</t>
  </si>
  <si>
    <t>Escola de Condução de Fazendas de Almeirim</t>
  </si>
  <si>
    <t>243 599 986</t>
  </si>
  <si>
    <t>934 624 171</t>
  </si>
  <si>
    <t>Delegação do grupo Matos (partilha email com Almeirinense)</t>
  </si>
  <si>
    <t>Rua Guilherme Nunes Godinho 368, Loja 3, 2080-562 Fazendas de Almeirim</t>
  </si>
  <si>
    <t>https://www.andardemoto.pt/escolas-de-conducao/dir/d/santarem/c/almeirim/</t>
  </si>
  <si>
    <t>Vila Nova de Poiares</t>
  </si>
  <si>
    <t>Escola de Condução A Poiarense</t>
  </si>
  <si>
    <t>239 421 371</t>
  </si>
  <si>
    <t>927 206 076</t>
  </si>
  <si>
    <t>'O serviço de atenção ao cliente foi pésimo' (2021, https://escola-de-conducao.pt/a-poiarense-307000.html)</t>
  </si>
  <si>
    <t>Volume médio-baixo (250 provas 2021), sem digital; queixas sobre atendimento</t>
  </si>
  <si>
    <t>Sem website</t>
  </si>
  <si>
    <t>Rua Comendador José Joaquim Ferreira, 3350-158 Vila Nova de Poiares</t>
  </si>
  <si>
    <t>https://escola-de-conducao.pt/a-poiarense-307000.html; https://www.bomcondutor.pt/escolas/escola/a-poiarense; https://www.andardemoto.pt/escolas-de-conducao/dir/d/coimbra/c/vila-nova-de-poiares/p-2037/a-poiarense/; https://www.imt-ip.pt/wp-content/uploads/2025/01/EscolasdeConducao-2021.pdf</t>
  </si>
  <si>
    <t>Escola de Condução Briosa</t>
  </si>
  <si>
    <t>239 401 452; 239 050 214</t>
  </si>
  <si>
    <t>913 002 798</t>
  </si>
  <si>
    <t>mail@ecbriosa.com</t>
  </si>
  <si>
    <t>ecbriosa.com (domínio já não pertence à escola — redireciona para site de casinos)</t>
  </si>
  <si>
    <t>https://www.facebook.com/pages/Escola-de-Condu%C3%A7%C3%A3o-Briosa/184330364926545</t>
  </si>
  <si>
    <t>Presencial/telefone (sem plataforma online identificada)</t>
  </si>
  <si>
    <t>Seg-Sex 09:00-13:00 / 14:00-20:00; Sábado 11:00-12:45 (aberto ao sábado)</t>
  </si>
  <si>
    <t>'Devia ter mecanismos que promovessem a regularidade na concretização das lições e evitassem os longos períodos sem conduzir fruto da desmarcação de aulas previamente agendadas' (https://escola-de-conducao.pt/escola-de-conducao-briosa-305923.html)</t>
  </si>
  <si>
    <t>Grande volume (796 provas 2021), sem app/site ativo, queixa explícita sobre desmarcação de aulas e falta de regularidade</t>
  </si>
  <si>
    <t>Website antigo (ecbriosa.com/.pt) perdido; sem portal de aluno identificado</t>
  </si>
  <si>
    <t>Rua Carlos Seixas, 163, 3030-177 Coimbra</t>
  </si>
  <si>
    <t>https://escola-de-conducao.pt/escola-de-conducao-briosa-305923.html; https://www.bomcondutor.pt/escolas/escola/briosa; https://www.andardemoto.pt/escolas-de-conducao/dir/d/coimbra/c/coimbra/p-2516/escola-de-conducao-briosa/; https://www.imt-ip.pt/wp-content/uploads/2025/01/EscolasdeConducao-2021.pdf; https://portalnacional.com.pt/coimbra/empresas/ensino/escolas-de-conducao/</t>
  </si>
  <si>
    <t>Escola de Condução Roda Segura</t>
  </si>
  <si>
    <t>243 094 849</t>
  </si>
  <si>
    <t>Seg-Sex 10:00-13:00 e 15:00-20:00; Sábado 10:00-13:00 (ABERTO SÁBADO)</t>
  </si>
  <si>
    <t>'marcam aulas e não aparecem nem avisam. A dona é arrogante e desorganizada, ao fim de oito meses foi preciso ir lá dar um murro na mesa para finalmente ela marcar o exame de código' — https://escola-de-conducao.pt/escola-de-conducao-roda-segura-306349.html</t>
  </si>
  <si>
    <t>Queixa explícita de aulas marcadas e faltadas sem aviso (dor de comunicação/agenda) + volume médio; sem presença digital própria</t>
  </si>
  <si>
    <t>Praceta Dr. Francisco da Luz Rebelo Gonçalves nº 7 (traseiras, loja), 2005-173 Santarém</t>
  </si>
  <si>
    <t>https://escola-de-conducao.pt/escola-de-conducao-roda-segura-306349.html; https://escolasconducao.com/escola/roda-segura-lda; https://www.imt-ip.pt/wp-content/uploads/2025/01/EscolasdeConducao-2021.pdf</t>
  </si>
  <si>
    <t>Ílhavo</t>
  </si>
  <si>
    <t>Gafanha da Nazaré</t>
  </si>
  <si>
    <t>Escola de Condução D. Pedro - Prina</t>
  </si>
  <si>
    <t>Prina / O Farol (mesmo telefone 234 391 371)</t>
  </si>
  <si>
    <t>234 391 371; 234 362 732</t>
  </si>
  <si>
    <t>https://www.facebook.com/pages/Escola-de-Condu%C3%A7%C3%A3o-Dom-Pedro/110523245717372</t>
  </si>
  <si>
    <t>Seg-Sex 10:00-20:00; Sábado 09:00-12:30 (aberto ao sábado de manhã)</t>
  </si>
  <si>
    <t>"Que escola mais absurdamente mal gerida... gigante incompetência" (09/2022) https://escola-de-conducao.pt/escola-de-conducao-d-pedro-prina-306691.html</t>
  </si>
  <si>
    <t>Aparenta operar 2 escolas na Gafanha (Prina + O Farol partilham telefone); queixa de má gestão</t>
  </si>
  <si>
    <t>Av. José Estêvão, 361-A, 3830-555 Gafanha da Nazaré (Google: Av. José Estêvão 421, 3830-554)</t>
  </si>
  <si>
    <t>https://www.bomcondutor.pt/escolas/escola/dom-pedro; https://escola-de-conducao.pt/escola-de-conducao-d-pedro-prina-306691.html (rating Google via snapshot escola-de-conducao.pt); https://passaprimeira.xyz/en/districts-regions/aveiro/municipalities/ilhavo/schools/ (licença 1008 'Prina')</t>
  </si>
  <si>
    <t>Mealhada</t>
  </si>
  <si>
    <t>Escola de Condução da Mealhada</t>
  </si>
  <si>
    <t>Escola de Condução da Mealhada / Via S (mesma gerência)</t>
  </si>
  <si>
    <t>231 027 199</t>
  </si>
  <si>
    <t>961 711 984</t>
  </si>
  <si>
    <t>Telefone/presencial (sem plataforma visível)</t>
  </si>
  <si>
    <t>Seg 10:00–19:00 Ter 10:00–19:00 Qua 10:00–19:00 Qui 10:00–19:00 Sex 10:00–19:00 SÁB 09:00–13:00 Dom Encerrado — aberto sábado de manhã</t>
  </si>
  <si>
    <t>Grupo de 2 escolas (Mealhada + Via S Anadia); ~220 exames/ano; sem app</t>
  </si>
  <si>
    <t>Sem website próprio encontrado; empresa associada no Google: Cicapamp, Lda (mesma morada, tel. 231 940 117 = Via S)</t>
  </si>
  <si>
    <t>Avenida 25 de Abril, Bloco A, R/C Esq., 3050-334 Mealhada</t>
  </si>
  <si>
    <t>https://escola-de-conducao.pt/escola-de-conducao-da-mealhada-306666.html; https://escola-de-conducao.pt/cicapamp-lda-306791.html; https://www.bomcondutor.pt/escolas/escola/mealhada; https://www.bairradainformacao.pt/2022/05/30/escola-de-conducao-da-mealhada-e-via-s-em-anadia-organizam-passeio-motard/; https://passaprimeira.xyz/en/districts-regions/aveiro/municipalities/mealhada/schools/</t>
  </si>
  <si>
    <t>Bustos</t>
  </si>
  <si>
    <t>Escola de Condução de Bustos (Alta Cilindrada)</t>
  </si>
  <si>
    <t>Alta Cilindrada</t>
  </si>
  <si>
    <t>234 758 423</t>
  </si>
  <si>
    <t>926 574 800</t>
  </si>
  <si>
    <t>ecbustos@altacilindrada.pt</t>
  </si>
  <si>
    <t>https://altacilindrada.pt/escola-de-conducao-bustos-2/</t>
  </si>
  <si>
    <t>https://www.facebook.com/AltaCilindradaECBustos/ ; https://www.facebook.com/ECAltaCilindrada/</t>
  </si>
  <si>
    <t>https://www.instagram.com/escola.conducao.bustos/</t>
  </si>
  <si>
    <t>ProExamWeb (e-learning teórico)</t>
  </si>
  <si>
    <t>Pré-inscrição por formulário web; aulas por telefone/presencial</t>
  </si>
  <si>
    <t>Seg 10:00–19:30 Ter 10:00–19:30 Qua 10:00–19:30 Qui 10:00–19:30 Sex 10:00–19:30 SÁB 09:00–12:00 Dom Encerrado — aberto sábado de manhã</t>
  </si>
  <si>
    <t>Grupo Alta Cilindrada (Bustos, Ílhavo, Azurva-Aveiro); presença social ativa por escola; usa e-learning mas sem app de marcação</t>
  </si>
  <si>
    <t>altacilindrada.pt: menu "Estudo Online" -&gt; https://www.proexamweb.com/ e "Sala Virtual"; pré-inscrição online; sem área do aluno/marcação</t>
  </si>
  <si>
    <t>Rua Frei Gil, Ed. Agra nº3 – Loja B, 3770-017 Bustos</t>
  </si>
  <si>
    <t>https://altacilindrada.pt/; https://altacilindrada.pt/category/escola/; https://escola-de-conducao.pt/escola-de-conducao-de-bustos-alta-cilindrada-305955.html; https://passaprimeira.xyz/en/districts-regions/aveiro/municipalities/oliveira-do-bairro/schools/</t>
  </si>
  <si>
    <t>Escola de Condução Estrela Torreense</t>
  </si>
  <si>
    <t>261 322 847; 261 315 081</t>
  </si>
  <si>
    <t>estrelatorreense@sapo.pt</t>
  </si>
  <si>
    <t>Presencial/telefone (sem site nem plataforma encontrados)</t>
  </si>
  <si>
    <t>Maior volume do concelho (571 provas 2021) sem site/app próprios</t>
  </si>
  <si>
    <t>Avenida 5 de Outubro, nº 2 - 1º, 2560-270 Torres Vedras</t>
  </si>
  <si>
    <t>https://www.bomcondutor.pt/escolas/escola/estrela-torreense; https://www.andardemoto.pt/escolas-de-conducao/dir/d/lisboa/c/torres-vedras/p-2677/escola-de-conducao-estrela-torreense/; https://passaprimeira.xyz/distritos-regioes/lisboa/concelhos/torres-vedras/escolas/; https://www.imt-ip.pt/wp-content/uploads/2025/01/EscolasdeConducao-2021.pdf</t>
  </si>
  <si>
    <t>Escola de Condução Ílhavo (Alta Cilindrada)</t>
  </si>
  <si>
    <t>234 422 468</t>
  </si>
  <si>
    <t>967 332 747</t>
  </si>
  <si>
    <t>ecilhavo@altacilindrada.pt</t>
  </si>
  <si>
    <t>https://altacilindrada.pt/escola-de-conducao-ilhavo/</t>
  </si>
  <si>
    <t>https://www.facebook.com/AltaCilindradaECIlhavo</t>
  </si>
  <si>
    <t>https://www.instagram.com/escola.conducao.ilhavo/</t>
  </si>
  <si>
    <t>ProExamWeb (e-learning de código)</t>
  </si>
  <si>
    <t>Pré-inscrição online no site; marcação de aulas não divulgada</t>
  </si>
  <si>
    <t>Seg-Sex 10:00-19:30; Sábado 09:00-12:00 (aberto ao sábado de manhã)</t>
  </si>
  <si>
    <t>A, A1, A2, B, C, CE</t>
  </si>
  <si>
    <t>"Os exames de condução são realizados em Albergaria. Deixa muitas duvidas" (12/2022) https://escola-de-conducao.pt/escola-de-conducao-de-ilhavo-alta-cilindrada-306832.html</t>
  </si>
  <si>
    <t>Grupo Alta Cilindrada (multi-escola); redes sociais ativas por escola</t>
  </si>
  <si>
    <t>Link 'Estudo Online' https://www.proexamweb.com/ + 'Sala Virtual' em altacilindrada.pt</t>
  </si>
  <si>
    <t>Rua Coronel Cândido Teles, n.º 7, 3830-126 Ílhavo</t>
  </si>
  <si>
    <t>https://altacilindrada.pt/escola-de-conducao-ilhavo/; https://escola-de-conducao.pt/escola-de-conducao-de-ilhavo-alta-cilindrada-306832.html (rating Google via snapshot escola-de-conducao.pt); https://passaprimeira.xyz/en/districts-regions/aveiro/municipalities/ilhavo/schools/ (licença 1362)</t>
  </si>
  <si>
    <t>Escola de Condução Castro Daire - Faciforma</t>
  </si>
  <si>
    <t>Faciforma (Fafe, Felgueiras, Guimarães/Azurém, V.N. Gaia, Castro Daire) — sede Fafe, NIF 504213768</t>
  </si>
  <si>
    <t>232099889</t>
  </si>
  <si>
    <t>917773717</t>
  </si>
  <si>
    <t>esccastrodaire@gmail.com</t>
  </si>
  <si>
    <t>www.faciforma.pt / faciforma.com (domínios não resolvem em out/2026)</t>
  </si>
  <si>
    <t>5.0 (escola-de-conducao.pt (agregado, não confirmado como Google))</t>
  </si>
  <si>
    <t>Secretaria Seg-Sex 9h-13h e 14h-20h; Sáb 9h-13h (aulas práticas até 21h em dias úteis)</t>
  </si>
  <si>
    <t>A; B; C; D (motociclos, ligeiros, passageiros e mercadorias); CAM/TCC</t>
  </si>
  <si>
    <t>Ao nível do grupo: 4 queixas no Portal da Queixa (abr-mai 2024) por fecho da Faciforma Gaia Centro 'sem aviso prévio' e pedidos de reembolso (ex.: 'ela fechou sem aviso prévio e pretendo e restituição do valor pago 1.400 euros') — https://portaldaqueixa.com/brands/faciforma</t>
  </si>
  <si>
    <t>Grupo multi-escola (5 cidades), mas CUIDADO: sites do grupo offline e escola de Gaia fechou em 2024 com queixas — confirmar se a delegação de Castro Daire continua a operar antes de abordar.</t>
  </si>
  <si>
    <t>R. Eng. Adelino Amaro da Costa, 31 (Bairro da Regadinha), 3600-143 Castro Daire</t>
  </si>
  <si>
    <t>https://escola-de-conducao.pt/escola-de-conducao-castrodaire-faciforma-306741.html; http://www.faciforma.com/conteudos/EscolasConducao-CastroDaire/61; https://portaldaqueixa.com/brands/faciforma; https://portaldaqueixa.com/brands/faciforma/complaints/faciforma-fecho-de-escola-de-conducao-sem-aviso-previo-110560424; https://www.racius.com/faciforma-ensino-de-conducao-e-formacao-rodoviaria-lda/; https://horario.me/0748480/Escola_de_Condu%C3%A7%C3%A3o_CastroDaire</t>
  </si>
  <si>
    <t>Murtosa</t>
  </si>
  <si>
    <t>Murtosa (Monte)</t>
  </si>
  <si>
    <t>Escola de Condução Murtosa</t>
  </si>
  <si>
    <t>Murtosa - Estarrejense (José Gustavo de Sousa, Lda.)</t>
  </si>
  <si>
    <t>234 865 182</t>
  </si>
  <si>
    <t>https://www.facebook.com/escoladeconducao.murtosa (link do Bom Condutor, não verificado)</t>
  </si>
  <si>
    <t>Grupo com 2 escolas (Murtosa + Estarrejense); única escola do concelho, 182 exames 2021</t>
  </si>
  <si>
    <t>Rua Dr. Guerra Junqueiro - Monte, 3870-133 Murtosa</t>
  </si>
  <si>
    <t>https://passaprimeira.xyz/en/districts-regions/aveiro/municipalities/murtosa/schools/; https://www.bomcondutor.pt/escolas/escola/murtosa; https://www.andardemoto.pt/escolas-de-conducao/dir/d/aveiro/c/murtosa/p-2865/escola-de-conducao-murtosa/</t>
  </si>
  <si>
    <t>Covilhã</t>
  </si>
  <si>
    <t>Escola de Condução A. Gomes - Covilhã</t>
  </si>
  <si>
    <t>A. Gomes (Covilhã + Guarda)</t>
  </si>
  <si>
    <t>275334568</t>
  </si>
  <si>
    <t>escola.a.gomes@gmail.com</t>
  </si>
  <si>
    <t>https://www.facebook.com/ESC.AGOMES.COVILHA/</t>
  </si>
  <si>
    <t>Seg-Sex 09:00-12:00, 14:00-18:30; Sábado encerrado</t>
  </si>
  <si>
    <t>Grupo multi-sítio (A. Gomes Covilhã + Guarda), embora pequeno</t>
  </si>
  <si>
    <t>Página em educacao-rodoviaria.pt/ec-agomes (materiais Winteste), não é software de gestão</t>
  </si>
  <si>
    <t>Rua de Olivença, Prédio Moço, s/nº - 1º, 6200-156 Covilhã</t>
  </si>
  <si>
    <t>https://escola-de-conducao.pt/escola-de-conducao-a-gomes-305807.html; https://passaprimeira.xyz/distritos-regioes/castelo-branco/concelhos/covilha/escolas/a-gomescovilha-00472/; https://www.educacao-rodoviaria.pt/ensino/escolas/?escolaid=472; https://www.andardemoto.pt/escolas-de-conducao/dir/d/castelo-branco/c/covilha/p-2001/a-gomes-covilha/</t>
  </si>
  <si>
    <t>Guarda</t>
  </si>
  <si>
    <t>Escola de Condução A. Gomes - Guarda (Alexandre Gomes (Sucessores), Lda)</t>
  </si>
  <si>
    <t>271212987</t>
  </si>
  <si>
    <t>escolaa.gomes@sapo.pt</t>
  </si>
  <si>
    <t>Seg-Sex 09:00-19:00; Sábado encerrado</t>
  </si>
  <si>
    <t>Grupo multi-sítio (A. Gomes Guarda + Covilhã), embora de volume baixo</t>
  </si>
  <si>
    <t>Rua Marquês de Pombal, Nº 45 - 1º, 6300-728 Guarda</t>
  </si>
  <si>
    <t>https://escola-de-conducao.pt/escola-de-conducao-gomes-305793.html; https://passaprimeira.xyz/distritos-regioes/guarda/concelhos/guarda/escolas/a-gomes-guarda-00216/; https://escolasconducao.com/escola/alexandre-gomes-sucessores-lda</t>
  </si>
  <si>
    <t>Escola de Condução Maringá</t>
  </si>
  <si>
    <t>Volume elevado (521 exames 2021) sem presença digital encontrada - provavelmente sem app; contactos por confirmar no local</t>
  </si>
  <si>
    <t>Rua Wenceslau de Morais, 16 - 2400-258 Leiria</t>
  </si>
  <si>
    <t>https://passaprimeira.xyz/distritos-regioes/leiria/concelhos/leiria/escolas/maringa-00597/</t>
  </si>
  <si>
    <t>Escola de Condução Rainha Santa</t>
  </si>
  <si>
    <t>239 855 900; 239 095 870</t>
  </si>
  <si>
    <t>www.escoladeconducaorainhasanta.pt (domínio estacionado/sem conteúdo)</t>
  </si>
  <si>
    <t>Seg-Sex 09:00-19:00; Sábado 09:00-13:00 (aberto ao sábado)</t>
  </si>
  <si>
    <t>'Liguei para pedi informação ... quem me atendeu mal deu a informação e desligou' (2018, https://escola-de-conducao.pt/escola-de-conducao-rainha-santa-305925.html)</t>
  </si>
  <si>
    <t>Volume elevado (640 provas 2021), sem presença digital ativa (site estacionado), empresa S.A.; possível ligação a escola de Condeixa (não confirmada)</t>
  </si>
  <si>
    <t>Website sem conteúdo (página de domínio estacionado Hostinger)</t>
  </si>
  <si>
    <t>Av. Fernão de Magalhães, 160, 1º, 3000-171 Coimbra</t>
  </si>
  <si>
    <t>https://escola-de-conducao.pt/escola-de-conducao-rainha-santa-305925.html; https://www.andardemoto.pt/escolas-de-conducao/dir/d/coimbra/c/coimbra/p-2956/escola-de-conducao-rainha-santa/; https://portalnacional.com.pt/coimbra/empresas/ensino/escolas-de-conducao/2/; https://www.imt-ip.pt/wp-content/uploads/2025/01/EscolasdeConducao-2021.pdf</t>
  </si>
  <si>
    <t>Anadia</t>
  </si>
  <si>
    <t>Escola de Condução Prioridade (possivelmente agora Red Line)</t>
  </si>
  <si>
    <t>Red Line? (a confirmar)</t>
  </si>
  <si>
    <t>231 516 354</t>
  </si>
  <si>
    <t>Seg-Sex 09:00–20:00; SÁB 09:00–12:00 (agregador, não confirmado) — aberto sábado de manhã</t>
  </si>
  <si>
    <t>Estado incerto: a empresa "Escola de Condução, Prioridade, Lda" mudou de denominação e a Red Line By MM tem sede no mesmo endereço — confirmar no local se é delegação Red Line</t>
  </si>
  <si>
    <t>Sem website encontrado</t>
  </si>
  <si>
    <t>Av. Eng. Tavares da Silva, Edifício Paço, Bloco 2, R/C, 3780-203 Anadia</t>
  </si>
  <si>
    <t>https://www.racius.com/escola-de-conducao-prioridade-lda/; https://www.racius.com/escola-de-conducao-red-line-by-mm-unipessoal-lda/; https://www.bomcondutor.pt/escolas/escola/prioridade; https://passaprimeira.xyz/en/districts-regions/aveiro/municipalities/anadia/schools/</t>
  </si>
  <si>
    <t>Escola de Condução Via S</t>
  </si>
  <si>
    <t>231 940 117</t>
  </si>
  <si>
    <t>961 711 984 / 961 711 929</t>
  </si>
  <si>
    <t>escola.de.conducao.via.s@gmail.com</t>
  </si>
  <si>
    <t>https://www.facebook.com/filipercarlos14/</t>
  </si>
  <si>
    <t>Seg 10:00–12:30 14:30–19:00 Ter 10:00–12:30 14:30–19:00 Qua 10:00–12:30 14:30–19:00 Qui 10:00–12:30 14:30–19:00 Sex 10:00–12:30 14:30–19:00 SÁB 09:00–13:00 Dom Encerrado — aberto sábado de manhã</t>
  </si>
  <si>
    <t>A1, B (referido em escola-de-conducao.pt)</t>
  </si>
  <si>
    <t>Grupo de 2 escolas (Mealhada + Anadia, mesma gerência); Facebook ativo (~3,5 mil gostos); sem app</t>
  </si>
  <si>
    <t>Sem website próprio encontrado</t>
  </si>
  <si>
    <t>Avenida das Laranjeiras, Edifício Panorama, Bloco B, 3780-202 Anadia</t>
  </si>
  <si>
    <t>https://escola-de-conducao.pt/escola-de-conducao-via-s-305933.html; https://www.bairradainformacao.pt/2022/05/30/escola-de-conducao-da-mealhada-e-via-s-em-anadia-organizam-passeio-motard/; https://www.bomcondutor.pt/escolas/escola/via-s; https://passaprimeira.xyz/en/districts-regions/aveiro/municipalities/anadia/schools/</t>
  </si>
  <si>
    <t>Meirinhas</t>
  </si>
  <si>
    <t>Escola de Condução Meiriformação</t>
  </si>
  <si>
    <t>236 942 200 / 236 942 201</t>
  </si>
  <si>
    <t>2ª-6ª 9h-13h / 15h-19h; Sábado 9h-13h (ABERTO sábado)</t>
  </si>
  <si>
    <t>Volume elevado (504 exames 2021, ~80% aprovação) numa freguesia rural, sem presença digital/app</t>
  </si>
  <si>
    <t>Rua do Comércio, 7 B (Google: n.º 23) - 3105-253 Meirinhas</t>
  </si>
  <si>
    <t>https://passaprimeira.xyz/distritos-regioes/leiria/concelhos/pombal/escolas/meiriformacao-01059/; https://escola-de-conducao.pt/escola-de-conducao-meiriformacao-lda-265012.html; https://www.bomcondutor.pt/escolas/escola/meiriformacao</t>
  </si>
  <si>
    <t>Silveira</t>
  </si>
  <si>
    <t>Escola de Condução Novo Horizonte / Direção Horizonte (Silveira)</t>
  </si>
  <si>
    <t>261 938 315; 261 858 415</t>
  </si>
  <si>
    <t>910 919 834</t>
  </si>
  <si>
    <t>direcaohorizonte@sapo.pt</t>
  </si>
  <si>
    <t>Volume alto (509 provas 2021) sem app; boas avaliações. Empresa atual: 'Direção Horizonte - Escola de Condução, Unipessoal Lda'</t>
  </si>
  <si>
    <t>Rua Nossa Senhora do Amparo, Lote 20 R/C Esq. (Urb. Vale Nogueira), 2560-538 Silveira</t>
  </si>
  <si>
    <t>https://escola-de-conducao.pt/direcao-horizonte-escola-de-conducao-unipessoal-lda-305998.html; https://www.bomcondutor.pt/escolas/escola/novo-horizonte; https://passaprimeira.xyz/distritos-regioes/lisboa/concelhos/torres-vedras/escolas/; https://www.imt-ip.pt/wp-content/uploads/2025/01/EscolasdeConducao-2021.pdf; https://negocios-tvedras.pt/empresa/2791</t>
  </si>
  <si>
    <t>Escola de Condução FICA - Coimbra</t>
  </si>
  <si>
    <t>925 782 887</t>
  </si>
  <si>
    <t>Delegação de grupo multi-site (FICA: Oliveira do Hospital + Coimbra)</t>
  </si>
  <si>
    <t>www.escolafica.pt não responde</t>
  </si>
  <si>
    <t>Rua Figueira da Foz, 31, 3000-317 Coimbra</t>
  </si>
  <si>
    <t>https://escola-de-conducao.pt/escola-de-conducao-fica-coimbra-305916.html; https://escola-de-conducao.pt/coimbra/</t>
  </si>
  <si>
    <t>Febres</t>
  </si>
  <si>
    <t>Escola de Condução Febres</t>
  </si>
  <si>
    <t>231 460 902</t>
  </si>
  <si>
    <t>917 236 815</t>
  </si>
  <si>
    <t>https://www.facebook.com/pages/Grupo-Mao-Escola-de-Condu%C3%A7%C3%A3o-Febres-e-Marialvas/184117264952338</t>
  </si>
  <si>
    <t>Delegação do Grupo MAO (multi-site)</t>
  </si>
  <si>
    <t>Sem área de aluno</t>
  </si>
  <si>
    <t>Rua Dr. Amadeu Castanheira, Lote/Bloco 1, Loja 1, 3060-318 Febres</t>
  </si>
  <si>
    <t>https://www.bomcondutor.pt/escolas/escola/febres; https://www.andardemoto.pt/escolas-de-conducao/dir/d/coimbra/c/cantanhede/p-2689/escola-de-conducao-febres/; https://portalnacional.com.pt/coimbra/empresas/ensino/escolas-de-conducao/2/</t>
  </si>
  <si>
    <t>Escola de Condução Inês de Castro</t>
  </si>
  <si>
    <t>239 430 026</t>
  </si>
  <si>
    <t>escola_conducao_inesdecastro@hotmail.com</t>
  </si>
  <si>
    <t>https://www.facebook.com/pg/Escola-de-Condu%C3%A7%C3%A3o-In%C3%AAs-de-Castro-170762542971106</t>
  </si>
  <si>
    <t>Seg-Sex 09:00-13:00 / 14:00-20:00; Sábado 08:00-13:00 (aberto ao sábado)</t>
  </si>
  <si>
    <t>'quando quis esclarecer algumas questões, agiram de forma bem diferente' (https://escola-de-conducao.pt/escola-de-conducao-ines-de-castro-lda-306496.html); queixa out/2026 sobre recusa de reembolso e de lista de presenças (https://portaldaqueixa.com/brands/escola-de-conducao-ines-de-castro)</t>
  </si>
  <si>
    <t>Volume elevado (631 provas 2021), sem site/app, queixa recente (out/2026) sobre presenças/registos</t>
  </si>
  <si>
    <t>Sem website; apenas Facebook</t>
  </si>
  <si>
    <t>Rua Aquilino Ribeiro, Lote C, R/C Dto, 3020-096 Coimbra</t>
  </si>
  <si>
    <t>https://escola-de-conducao.pt/escola-de-conducao-ines-de-castro-lda-306496.html; https://www.bomcondutor.pt/escolas/escola/ines-de-castro; https://www.andardemoto.pt/escolas-de-conducao/dir/d/coimbra/c/coimbra/p-2747/escola-de-conducao-ines-castro/; https://portaldaqueixa.com/brands/escola-de-conducao-ines-de-castro; https://www.imt-ip.pt/wp-content/uploads/2025/01/EscolasdeConducao-2021.pdf</t>
  </si>
  <si>
    <t>Coimbra (Celas)</t>
  </si>
  <si>
    <t>Escola de Condução Universidade</t>
  </si>
  <si>
    <t>960 222 346</t>
  </si>
  <si>
    <t>Seg-Sex 08:30-20:00; Sábado 08:30-13:00 (aberto ao sábado)</t>
  </si>
  <si>
    <t>Uma das maiores do distrito (965 provas 2021) sem website/app próprio identificado; avaliações recentes positivas ('ambiente moderno')</t>
  </si>
  <si>
    <t>Rua Mendes dos Remédios, 3040-262 Coimbra</t>
  </si>
  <si>
    <t>https://escola-de-conducao.pt/escola-de-conducao-universidade-305924.html; https://escola-de-conducao.pt/escola-de-conducao-onde-o-gui-anda-307336.html; https://www.imt-ip.pt/wp-content/uploads/2025/01/EscolasdeConducao-2021.pdf</t>
  </si>
  <si>
    <t>Arganil</t>
  </si>
  <si>
    <t>Escola de Condução Via Segura (Rota da Estrela)</t>
  </si>
  <si>
    <t>235 208 268</t>
  </si>
  <si>
    <t>968 588 469</t>
  </si>
  <si>
    <t>geral@rotadaestrela.pt</t>
  </si>
  <si>
    <t>https://www.facebook.com/rotada.estrela</t>
  </si>
  <si>
    <t>Delegação de grupo multi-site (Rota da Estrela)</t>
  </si>
  <si>
    <t>Rua da Barrosa, 2, 3300-104 Arganil</t>
  </si>
  <si>
    <t>https://www.bomcondutor.pt/escolas/escola/via-segura; https://www.andardemoto.pt/escolas-de-conducao/dir/d/coimbra/c/arganil/p-3078/escola-de-conducao-via-segura/</t>
  </si>
  <si>
    <t>Escola de Condução Volante da Foz</t>
  </si>
  <si>
    <t>233 435 253; 233 428 314</t>
  </si>
  <si>
    <t>'Um aluno está 1 ano para conseguir aulas de condução pois dizem que nunca tem disponibilidade' (2023, https://escola-de-conducao.pt/escola-de-conducao-volante-da-foz-lda-306202.html)</t>
  </si>
  <si>
    <t>Dor explícita com disponibilidade/marcação de aulas</t>
  </si>
  <si>
    <t>Rua de Timor, 8, R/C, 3080-143 Figueira da Foz</t>
  </si>
  <si>
    <t>https://escola-de-conducao.pt/escola-de-conducao-volante-da-foz-lda-306202.html; https://www.andardemoto.pt/escolas-de-conducao/dir/d/coimbra/c/figueira-da-foz/p-3097/escola-de-conducao-volante-da-foz/; https://www.imt-ip.pt/wp-content/uploads/2025/01/EscolasdeConducao-2021.pdf</t>
  </si>
  <si>
    <t>Alagoas (Santa Joana)</t>
  </si>
  <si>
    <t>Escola de Condução Azurva Alagoas</t>
  </si>
  <si>
    <t>234 138 671</t>
  </si>
  <si>
    <t>910 819 627</t>
  </si>
  <si>
    <t>ecazurva@altacilindrada.pt</t>
  </si>
  <si>
    <t>https://altacilindrada.pt/escola-de-conducao-azurva-alagoas-2/</t>
  </si>
  <si>
    <t>https://www.facebook.com/AltaCilindradaECAzurva/</t>
  </si>
  <si>
    <t>https://www.instagram.com/escola.conducao.azurva/</t>
  </si>
  <si>
    <t>Grupo Alta Cilindrada (4 escolas no distrito: Azurva, Ílhavo, Bustos, Oliveira do Bairro + Tocha); presença digital ativa (FB/IG por escola, e-learning)</t>
  </si>
  <si>
    <t>Site liga a 'Estudo Online' https://www.proexamweb.com/ e 'Sala Virtual' (área reservada) em altacilindrada.pt/sala-virtual/</t>
  </si>
  <si>
    <t>Rua da República, n.º 118, Alagoas, 3810-158 Aveiro</t>
  </si>
  <si>
    <t>https://altacilindrada.pt/; https://altacilindrada.pt/servicos-2/; https://escola-de-conducao.pt/escola-de-conducao-azurva-alagoas-alta-cilindrada-306439.html (rating Google via snapshot escola-de-conducao.pt); https://passaprimeira.xyz/en/districts-regions/aveiro/municipalities/aveiro/schools/</t>
  </si>
  <si>
    <t>Estarreja</t>
  </si>
  <si>
    <t>Escola de Condução Estarrejense</t>
  </si>
  <si>
    <t>234 841 446</t>
  </si>
  <si>
    <t>967 878 171</t>
  </si>
  <si>
    <t>ec.estarrejense@sapo.pt</t>
  </si>
  <si>
    <t>https://www.facebook.com/estarrejense.escoladeconducao/</t>
  </si>
  <si>
    <t>Grupo com 2 escolas (Estarreja + Murtosa, agrupadas no Bom Condutor); FB 3.3k seguidores</t>
  </si>
  <si>
    <t>Rua dos Bombeiros Voluntários, 50 - 1º Dto, 3860-367 Estarreja</t>
  </si>
  <si>
    <t>https://passaprimeira.xyz/en/districts-regions/aveiro/municipalities/estarreja/schools/; https://www.bomcondutor.pt/escolas/escola/estarrejense; https://www.facebook.com/estarrejense.escoladeconducao/; https://escola-de-conducao.pt/jose-gustavo-de-sousa-lda-309101.html</t>
  </si>
  <si>
    <t>Torres Novas</t>
  </si>
  <si>
    <t>Escola de Condução Torrejana</t>
  </si>
  <si>
    <t>249 826 326</t>
  </si>
  <si>
    <t>http://www.facebook.com/ec.torrejana</t>
  </si>
  <si>
    <t>Telefone/presencial; vagas de cancelamentos preenchidas por chamada telefónica</t>
  </si>
  <si>
    <t>Seg-Sex 09:30-13:00 e 14:00-20:00; Sábado 10:00-12:00 (ABERTO sábado)</t>
  </si>
  <si>
    <t>'Tentaram sempre arranjar-me vagas para as aulas, por vezes até me ligavam com aulas extra se alguém cancelasse' (gestão manual de cancelamentos) - https://escola-de-conducao.pt/escola-de-conducao-torrejana-306746.html; 'não tem paciência para ninguém' (1/5) - mesma fonte</t>
  </si>
  <si>
    <t>Evidência de gestão manual de cancelamentos/vagas por telefone (caso de uso direto das notificações); rating 3.9.</t>
  </si>
  <si>
    <t>Largo Movimento das Forças Armadas, 23, 2350-754 Torres Novas (no Google: R. Outeiro do Fogo 22)</t>
  </si>
  <si>
    <t>https://escola-de-conducao.pt/escola-de-conducao-torrejana-306746.html; https://www.testesdecodigogratis.com/escola-de-conducao/torrejana/; https://www.andardemoto.pt/escolas-de-conducao/dir/d/santarem/c/torres-novas/p-3479/torrejana/; https://www.imt-ip.pt/wp-content/uploads/2025/01/EscolasdeConducao-2021.pdf</t>
  </si>
  <si>
    <t>Montemor-o-Velho</t>
  </si>
  <si>
    <t>Escola de Condução Auto Montemor</t>
  </si>
  <si>
    <t>239 689 209</t>
  </si>
  <si>
    <t>967 615 923</t>
  </si>
  <si>
    <t>Seg-Sex 09:00-19:30; Sábado 09:00-13:00 (aberto ao sábado)</t>
  </si>
  <si>
    <t>Volume médio-alto (476 provas 2021) sem presença digital</t>
  </si>
  <si>
    <t>Av. Diogo de Azambuja, 725, 3140-274 Montemor-o-Velho</t>
  </si>
  <si>
    <t>https://escola-de-conducao.pt/escola-de-conducao-auto-montemor-307146.html; https://escola-de-conducao.pt/escola-de-conducao-auto-montemor-maia-maia-lda-305926.html; https://portalnacional.com.pt/coimbra/empresas/ensino/escolas-de-conducao/3/; https://www.imt-ip.pt/wp-content/uploads/2025/01/EscolasdeConducao-2021.pdf</t>
  </si>
  <si>
    <t>Carapinheira</t>
  </si>
  <si>
    <t>Escola de Condução Mondego</t>
  </si>
  <si>
    <t>239 689 733</t>
  </si>
  <si>
    <t>Seg-Sex 09:00-20:00; Sábado 09:00-13:00 (aberto ao sábado)</t>
  </si>
  <si>
    <t>Grande volume (733 provas 2021, muitas práticas — provável forte em pesados) sem site/app</t>
  </si>
  <si>
    <t>Rua das Escadinhas, 3140-282 Montemor-o-Velho (Carapinheira)</t>
  </si>
  <si>
    <t>https://escola-de-conducao.pt/escola-de-conducao-mondego-305915.html; https://www.andardemoto.pt/escolas-de-conducao/dir/d/coimbra/c/montemor-o-velho/p-2854/escola-de-conducao-mondego/; https://portalnacional.com.pt/coimbra/empresas/ensino/escolas-de-conducao/3/; https://www.imt-ip.pt/wp-content/uploads/2025/01/EscolasdeConducao-2021.pdf</t>
  </si>
  <si>
    <t>Sever do Vouga</t>
  </si>
  <si>
    <t>Escola de Condução Convida</t>
  </si>
  <si>
    <t>Irmãos Tavares</t>
  </si>
  <si>
    <t>234 556 692; 232 518 050 (contacto Irmãos Tavares)</t>
  </si>
  <si>
    <t>esc.cond.convida@gmail.com</t>
  </si>
  <si>
    <t>https://www.escolaconducaoconvida.pt/ (domínio não resolve em 10/2026)</t>
  </si>
  <si>
    <t>https://www.facebook.com/ecconvida/</t>
  </si>
  <si>
    <t>AM, A1, A2, A, B (caixa automática, veículos adaptados, simuladores A e B)</t>
  </si>
  <si>
    <t>Integra grupo multi-escola Irmãos Tavares (empresa Escola de Condução Irmãos Tavares Lda registada neste endereço; telefone 232 518 050 comum; FB do grupo 2.9k seguidores)</t>
  </si>
  <si>
    <t>Website indicado em pesquisa mas domínio sem DNS em 10/2026</t>
  </si>
  <si>
    <t>Av. Comendador Augusto Martins Pereira, 110 r/c (Edf. Sobreiral), 3740-255 Sever do Vouga</t>
  </si>
  <si>
    <t>https://passaprimeira.xyz/en/districts-regions/aveiro/municipalities/sever-do-vouga/schools/; https://www.diretorioempresarial.pt/escola_de_conducao_irmaos_tavares_lda_escolas_de_conducao_sever_do_vouga5; https://www.bomcondutor.pt/escolas/escola/irmaos-tavares; https://www.facebook.com/escolaconducaoirmaostavares/; https://www.facebook.com/ecconvida/; https://escola-de-conducao.pt/escola-de-conducao-convida-306440.html</t>
  </si>
  <si>
    <t>Nelas</t>
  </si>
  <si>
    <t>Escola de Condução Arede – Nelas (alvará IMT 1434 'Vitor Arede')</t>
  </si>
  <si>
    <t>969148672</t>
  </si>
  <si>
    <t>Delegação do grupo Isabel &amp; Arede (multi-sede); alvará aberto em 2019 (empresa V.R. &amp; Arede Lda, sede em Tábua)</t>
  </si>
  <si>
    <t>Sem website próprio; sem evidência de app/área do aluno</t>
  </si>
  <si>
    <t>Rua António Joaquim Henriques 66, 3520-035 Nelas</t>
  </si>
  <si>
    <t>https://passaprimeira.xyz/distritos-regioes/viseu/concelhos/nelas/escolas/vitor-arede-01434/; https://www.racius.com/v-r-arede-escola-de-conducao-lda/; https://maisbeiras.sapo.pt/isabelarede-escolas-de-conducao-em-fornos-de-algodres</t>
  </si>
  <si>
    <t>Escola de Condução Moderna</t>
  </si>
  <si>
    <t>Grupo MGA (Manuel Gonçalves Alves) — primeira escola do grupo (1971); atual site do grupo só lista 4 escolas (Coimbra, Oliveira do Hospital, Tábua, Figueira da Foz) — verificar se ainda pertence</t>
  </si>
  <si>
    <t>232382410</t>
  </si>
  <si>
    <t>965640066; 914861711</t>
  </si>
  <si>
    <t>http://www.escolaconducaomoderna.pt/ (offline em out/2026: certificado expirado, página 'Website unavailable')</t>
  </si>
  <si>
    <t>https://www.facebook.com/ECMODERNA/</t>
  </si>
  <si>
    <t>4.3 (escola-de-conducao.pt (agregado, não confirmado como Google))</t>
  </si>
  <si>
    <t>BDrive (provável, ao nível do Grupo MGA)</t>
  </si>
  <si>
    <t>Seg-Sex 9h-19h30; Sáb 9h-12h30 (escola-de-conducao.pt); site antigo indicava Seg-Sex 8h-19h, Sáb 8h-12h</t>
  </si>
  <si>
    <t>A; A1; A2; B; BE; C; CE; D</t>
  </si>
  <si>
    <t>Ligada ao Grupo MGA (multi-escola, usa plataforma BDrive mas sem app própria de aluno); Facebook com 1562 seguidores; site próprio caiu — possível abertura a nova solução digital.</t>
  </si>
  <si>
    <t>https://escolasmga.pt/servicos/plataforma-bdrive/</t>
  </si>
  <si>
    <t>Av. Gen. Humberto Delgado, 25, Edif. S. Macário, 3600-187 Castro Daire</t>
  </si>
  <si>
    <t>https://escolasmga.pt/escolas-conducao-grupo-mga/; https://www.facebook.com/ECMODERNA/; https://escola-de-conducao.pt/escola-de-conducao-moderna-306740.html; https://www.andardemoto.pt/escolas-de-conducao/dir/d/viseu/c/castro-daire/p-2844/escola-de-conducao-moderna/; https://escolasdeconducao.com/escola-de-conducao-moderna-castro-daire</t>
  </si>
  <si>
    <t>Moimenta da Beira</t>
  </si>
  <si>
    <t>Escolas Reis (Escola de Condução Reis - sede)</t>
  </si>
  <si>
    <t>Escolas Reis - António Reis Lda (2 escolas em Moimenta da Beira, Tabuaço, Trancoso/Guarda; possivelmente Vila da Rua)</t>
  </si>
  <si>
    <t>254582686; 254582600</t>
  </si>
  <si>
    <t>escolasreis@gmail.com</t>
  </si>
  <si>
    <t>www.escolasreis.pt (domínio caducado: não resolve em 2026; arquivo de 2021 mostra spam)</t>
  </si>
  <si>
    <t>https://www.facebook.com/pages/Escola-de-Condu%C3%A7%C3%A3o-Reis/196033300410578</t>
  </si>
  <si>
    <t>Seg-Sex 9h-19h; Sáb 9h-13h; Dom fechado</t>
  </si>
  <si>
    <t>Portal da Queixa: sem página de marca encontrada</t>
  </si>
  <si>
    <t>Grupo multi-site (3+ escolas no distrito de Viseu + Trancoso), cerca de 300 exames em 2021 no conjunto; site caducado, presença digital fraca</t>
  </si>
  <si>
    <t>Sem site próprio ativo e sem área do aluno - https://web.archive.org/web/20211102022732/http://escolasreis.pt/</t>
  </si>
  <si>
    <t>Avenida 25 de Abril, nº23 r/c, 3620-304 Moimenta da Beira (morada antiga: Rua 24 de Junho 85 r/c)</t>
  </si>
  <si>
    <t>https://www.andardemoto.pt/escolas-de-conducao/dir/d/viseu/c/moimenta-da-beira/p-2959/escola-de-conducao-reis/; https://www.andardemoto.pt/escolas-de-conducao/dir/d/viseu/c/moimenta-da-beira/p-2960/reis/; https://escola-de-conducao.pt/escola-de-conducao-reis-306044.html; https://www.testesdecodigogratis.com/escola-de-conducao/reis/; https://www.racius.com/antonio-reis-lda/; https://web.archive.org/web/20211102022732/http://escolasreis.pt/</t>
  </si>
  <si>
    <t>Fundão</t>
  </si>
  <si>
    <t>Escola de Condução A Cereja</t>
  </si>
  <si>
    <t>A Cereja (Fundão + sala de formação em Castelo Branco)</t>
  </si>
  <si>
    <t>275751393</t>
  </si>
  <si>
    <t>escola.acereja@gmail.com</t>
  </si>
  <si>
    <t>https://www.escola-acereja.com/</t>
  </si>
  <si>
    <t>Seg-Sex 09:00-13:00, 14:00-20:00; Sábado 09:00-13:00 (aberto)</t>
  </si>
  <si>
    <t>A, B, C, D, BE + CAM (motoristas)</t>
  </si>
  <si>
    <t>Multi-sítio: site indica salas de formação no Fundão e em Castelo Branco</t>
  </si>
  <si>
    <t>Site estático (2018), sem área do aluno</t>
  </si>
  <si>
    <t>Rua dos Restauradores, Lote 10, R/C Esq, 6230-496 Fundão</t>
  </si>
  <si>
    <t>https://escola-de-conducao.pt/escola-de-conducao-a-cereja-306372.html; https://www.escola-acereja.com/; https://passaprimeira.xyz/distritos-regioes/castelo-branco/concelhos/fundao/escolas/a-cereja-00668/; https://escolasconducao.com/escola/escola-de-conducao-a-cereja-lda</t>
  </si>
  <si>
    <t>Belmonte</t>
  </si>
  <si>
    <t>Escola de Condução Belmontense</t>
  </si>
  <si>
    <t>Prevenção de Belmonte, Lda (Belmontense + Sra. Esperança/Paul + provável Penamacor)</t>
  </si>
  <si>
    <t>275912053</t>
  </si>
  <si>
    <t>969944970</t>
  </si>
  <si>
    <t>qv_escolabelmontense421@hotmail.com</t>
  </si>
  <si>
    <t>https://www.facebook.com/escolaconducao.belmontense</t>
  </si>
  <si>
    <t>Seg-Sex 09:30-20:00; Sábado 09:00-13:00 (aberto)</t>
  </si>
  <si>
    <t>Sede de grupo multi-sítio (Belmonte, Paul, Penamacor)</t>
  </si>
  <si>
    <t>Rua Pedro Álvares Cabral, Nº 292 R/C, 6250-088 Belmonte</t>
  </si>
  <si>
    <t>https://escola-de-conducao.pt/escola-de-conducao-belmontense-306315.html; https://passaprimeira.xyz/distritos-regioes/castelo-branco/concelhos/belmonte/escolas/belmontense-00421/; https://escolasconducao.com/escola/escola-conducao-prevencao-de-belmonte-lda; https://www.testesdecodigogratis.com/escola-de-conducao/belmontense/; https://www.einforma.pt/servlet/app/portal/ENTP/prod/ETIQUETA_EMPRESA_TELEFONE/nif/507289390/telefone/277394318/</t>
  </si>
  <si>
    <t>Porto de Mós</t>
  </si>
  <si>
    <t>Leões / Tourões (São João Batista)</t>
  </si>
  <si>
    <t>Escola de Condução A. Garcia</t>
  </si>
  <si>
    <t>244 491 512 / 244 401 398</t>
  </si>
  <si>
    <t>Volume elevado (441 exames 2021) sem presença digital/app encontrada</t>
  </si>
  <si>
    <t>Rua Principal, 8 - 2480-173 Porto de Mós</t>
  </si>
  <si>
    <t>https://passaprimeira.xyz/distritos-regioes/leiria/concelhos/porto-de-mos/escolas/a-garcia-00526/; https://www.bomcondutor.pt/escolas/escola/a-garcia; https://www.andardemoto.pt/escolas-de-conducao/dir/d/leiria/c/porto-de-mos/p-2395/escola-de-conducao-a-garcia/</t>
  </si>
  <si>
    <t>Escola de Condução LeiriDrive</t>
  </si>
  <si>
    <t>244 802 164</t>
  </si>
  <si>
    <t>969 209 810</t>
  </si>
  <si>
    <t>https://leiridrive.pt/</t>
  </si>
  <si>
    <t>https://www.facebook.com/LeiriDrive/</t>
  </si>
  <si>
    <t>2ª-6ª 10h-12h / 14h-20h; Sábado 10h-13h (ABERTO sábado)</t>
  </si>
  <si>
    <t>Volume elevado (445 exames 2021, ~78% aprovação); site em baixo - oportunidade para solução digital; sem app</t>
  </si>
  <si>
    <t>leiridrive.pt devolvia erro crítico WordPress (HTTP 500) em out/2026</t>
  </si>
  <si>
    <t>Rua da Quinta, Lote 108, Fração C, Urb. Santa Clara - 2400-845 Leiria (Parceiros)</t>
  </si>
  <si>
    <t>https://passaprimeira.xyz/distritos-regioes/leiria/concelhos/leiria/escolas/leiridrive-01335/; https://escola-de-conducao.pt/escola-de-conducao-leiridrive-305906.html; https://www.bomcondutor.pt/escolas/escola/leiridrive; https://leiridrive.pt/</t>
  </si>
  <si>
    <t>Tomar</t>
  </si>
  <si>
    <t>Escola de Condução Carreira (Carreira &amp; Confraria, Lda.)</t>
  </si>
  <si>
    <t>249 321 900</t>
  </si>
  <si>
    <t>917 348 819</t>
  </si>
  <si>
    <t>agencia.carreira@net.novis.pt (antigo, não confirmado)</t>
  </si>
  <si>
    <t>http://eccarreira.home.sapo.pt (antigo)</t>
  </si>
  <si>
    <t>https://www.facebook.com/escola.de.conducao.carreira/</t>
  </si>
  <si>
    <t>Seg-Sex 09:00-20:00; Sábado 09:00-13:00 (ABERTO sábado)</t>
  </si>
  <si>
    <t>B, C (pesados)</t>
  </si>
  <si>
    <t>Maior volume em Tomar (580 exames 2021), inclui pesados, sem app própria.</t>
  </si>
  <si>
    <t>Rua Alfredo da Maia Pereira, 6 - Loja Esq., 2300-449 Tomar</t>
  </si>
  <si>
    <t>https://escola-de-conducao.pt/escola-conducao-carreira-confraria-lda-306029.html; https://www.testesdecodigogratis.com/escola-de-conducao/carreira/; https://radiohertz.pt/tomar-escola-de-conducao-carreira-ja-tem-ensino-para-categoria-de-pesados-em-mes-onde-completa-13-anos/; https://www.andardemoto.pt/escolas-de-conducao/dir/d/santarem/c/tomar/p-2071/agencia-carreira/; https://www.imt-ip.pt/wp-content/uploads/2025/01/EscolasdeConducao-2021.pdf</t>
  </si>
  <si>
    <t>Escola de Condução Fátima</t>
  </si>
  <si>
    <t>249 531 075</t>
  </si>
  <si>
    <t>910 534 759</t>
  </si>
  <si>
    <t>http://www.facebook.com/EscolaDeConducaoFatima</t>
  </si>
  <si>
    <t>Seg-Sex 09:00-12:00 e 14:00-19:00; Sábado 10:00-12:00 (ABERTO sábado)</t>
  </si>
  <si>
    <t>'não vale um telho isso é mau' (1/5, 2021) - https://escola-de-conducao.pt/escola-de-conducao-fatima-306289.html</t>
  </si>
  <si>
    <t>Volume médio, sem sinais claros de dor nem de tecnologia.</t>
  </si>
  <si>
    <t>Avenida Beato Nuno, 111-113, 2495-401 Fátima</t>
  </si>
  <si>
    <t>https://escola-de-conducao.pt/escola-de-conducao-fatima-306289.html; https://www.testesdecodigogratis.com/escola-de-conducao/fatima/; https://www.imt-ip.pt/wp-content/uploads/2025/01/EscolasdeConducao-2021.pdf</t>
  </si>
  <si>
    <t>Escola de Condução Alta Roda</t>
  </si>
  <si>
    <t>261 314 104</t>
  </si>
  <si>
    <t>https://www.facebook.com/altaroda.escoladeconducao</t>
  </si>
  <si>
    <t>2ª-6ª 09h-13h e 14h-19h; Sábado ENCERRADO (Google)</t>
  </si>
  <si>
    <t>Volume alto (448 provas 2021) sem app/plataforma; nota: fechada ao sábado segundo o Google</t>
  </si>
  <si>
    <t>Rua Amadeu Rodrigues Ferreira Matias, Lote 16, Loja 2 (nº 5 A), 2560-253 Torres Vedras</t>
  </si>
  <si>
    <t>https://www.bomcondutor.pt/escolas/escola/alta-roda; https://escola-de-conducao.pt/escola-de-conducao-alta-roda-lda-305992.html; https://passaprimeira.xyz/distritos-regioes/lisboa/concelhos/torres-vedras/escolas/; https://www.imt-ip.pt/wp-content/uploads/2025/01/EscolasdeConducao-2021.pdf</t>
  </si>
  <si>
    <t>Abrigada</t>
  </si>
  <si>
    <t>Escola de Condução Scallabis (Abrigada)</t>
  </si>
  <si>
    <t>263 799 612</t>
  </si>
  <si>
    <t>Volume alto (462 provas 2021) sem presença digital/plataforma encontrada. Licença IMT 772 'Scallabis' registada nesta morada (nome sugere ligação a Santarém - verificar se é delegação de um grupo)</t>
  </si>
  <si>
    <t>Rua do Baco, 16 A, 2580-010 Abrigada</t>
  </si>
  <si>
    <t>https://passaprimeira.xyz/distritos-regioes/lisboa/concelhos/alenquer/escolas/; https://www.autonews.pt/escolas-de-conducao/dir/d/lisboa/c/alenquer/p-2411/escola-de-conducao-abrigada/; https://www.imt-ip.pt/wp-content/uploads/2025/01/EscolasdeConducao-2021.pdf</t>
  </si>
  <si>
    <t>Aveiro (Glória)</t>
  </si>
  <si>
    <t>Escola de Condução Santa Joana</t>
  </si>
  <si>
    <t>234 422 478; 234 425 285; 234 422 772</t>
  </si>
  <si>
    <t>Seg-Sex 10:00-12:00 e 15:00-20:00; Sábado 10:00-12:00 (aberto ao sábado de manhã)</t>
  </si>
  <si>
    <t>"Liguei para pedir uma informação sequer, mas não querem trabalhar" (08/2023); "Liguei a pedir informações e a resposta foi logo 'não temos vagas'" (06/2023); "Não passam valor por telefone. Tens de te deslocar até lá" (03/2024); "na inscrição dizem uma informação e ao longo do percurso dizem outra" (10/2022) — todos em https://escola-de-conducao.pt/escola-de-conducao-santa-joana-lda-307254.html</t>
  </si>
  <si>
    <t>Maior volume do concelho (455 exames 2021) sem app própria; muitas queixas de atendimento/comunicação e falta de vagas</t>
  </si>
  <si>
    <t>Rua da Aviação Naval, A e B, 3810-055 Aveiro</t>
  </si>
  <si>
    <t>https://www.bomcondutor.pt/escolas/escola/santa-joana; https://escola-de-conducao.pt/escola-de-conducao-santa-joana-lda-307254.html (rating Google via snapshot escola-de-conducao.pt); https://passaprimeira.xyz/en/districts-regions/aveiro/municipalities/aveiro/schools/</t>
  </si>
  <si>
    <t>Cinfães</t>
  </si>
  <si>
    <t>Cinfães (Quintela, Paúves)</t>
  </si>
  <si>
    <t>Escola de Condução Cinfanense (também 'Escola de Condução S. João')</t>
  </si>
  <si>
    <t>255563955</t>
  </si>
  <si>
    <t>http://www.educacao-rodoviaria.pt/ec-sjoao/ (não carrega em out/2026)</t>
  </si>
  <si>
    <t>Parte de grupo multi-escola (mesma sociedade João &amp; Vaz Lda. da Castrense, Castro Daire); abordar em conjunto com a Castrense.</t>
  </si>
  <si>
    <t>Edifício Multifuncional, Quintela, Bloco 2, R/C D, 4690-058 Cinfães</t>
  </si>
  <si>
    <t>https://codigopostal.ciberforma.pt/dir/505085976/joao-vaz-lda/; https://codigopostal.ciberforma.pt/dir/0/escola-de-conducao-sao-joao/; https://www.racius.com/joao-vaz-lda/; https://www.andardemoto.pt/escolas-de-conducao/dir/d/viseu/c/cinfaes/p-2245/cinfanense/; https://www.bomcondutor.pt/escolas/escola/sao-joao; https://escola-de-conducao.pt/escola-de-conducao-s-joao-306409.html</t>
  </si>
  <si>
    <t>Escola de Condução G. Gomes - Guarda</t>
  </si>
  <si>
    <t>G. Gomes (Guarda + Celorico da Beira + Pinhel)</t>
  </si>
  <si>
    <t>271211413</t>
  </si>
  <si>
    <t>Sede de grupo com 3 escolas (Guarda, Celorico, Pinhel; 420 exames 2021 no total)</t>
  </si>
  <si>
    <t>Largo General Humberto Delgado, 39 - 1º, 6300-712 Guarda</t>
  </si>
  <si>
    <t>https://escola-de-conducao.pt/escola-de-conducao-g-gomes-305797.html; https://passaprimeira.xyz/distritos-regioes/guarda/concelhos/guarda/escolas/g-gomes-guarda-00083/; https://transitoagora.pt/escolas-conducao</t>
  </si>
  <si>
    <t>Escola de Condução Stop</t>
  </si>
  <si>
    <t>244 504 397 / 244 541 397</t>
  </si>
  <si>
    <t>ecstop@gmail.com</t>
  </si>
  <si>
    <t>https://www.facebook.com/escola.conducao.stop/</t>
  </si>
  <si>
    <t>Volume elevado (423 exames 2021) e sem app/plataforma conhecida</t>
  </si>
  <si>
    <t>Av. Dr. José Henriques Vareda, 56 - 2430-308 Marinha Grande</t>
  </si>
  <si>
    <t>https://passaprimeira.xyz/distritos-regioes/leiria/concelhos/marinha-grande/escolas/stop-00413/; https://www.bomcondutor.pt/escolas/escola/stop; https://www.andardemoto.pt/escolas-de-conducao/dir/d/leiria/c/marinha-grande/p-3471/stop/</t>
  </si>
  <si>
    <t>Fátima (Cova da Iria)</t>
  </si>
  <si>
    <t>Escola de Condução Destinus</t>
  </si>
  <si>
    <t>249 532 300</t>
  </si>
  <si>
    <t>912 508 978</t>
  </si>
  <si>
    <t>https://ecdestinus.pt/</t>
  </si>
  <si>
    <t>https://www.facebook.com/people/Destinus/100070698740665/</t>
  </si>
  <si>
    <t>https://www.instagram.com/escolaconducaodestinus</t>
  </si>
  <si>
    <t>Telefone/WhatsApp (botão wa.me no site)</t>
  </si>
  <si>
    <t>Seg-Sex 10:00-13:00 e 14:30-19:30; Sábado 09:00-13:00 (ABERTO sábado); aulas práticas desde as 8h</t>
  </si>
  <si>
    <t>A, A1, A2, B, B1</t>
  </si>
  <si>
    <t>'O custo da carta de condução é extremamente exorbitante' (1/5, 2020) - https://escola-de-conducao.pt/escola-de-conducao-destinus-306290.html</t>
  </si>
  <si>
    <t>Volume elevado (413 exames 2021), presença digital moderna (site novo, WhatsApp, Instagram, simulador) = abertura a tecnologia; 7 instrutores. Mesma morada/telefone da antiga 'Batalhense de Fátima' (o Grupo Batalhense já não lista Fátima).</t>
  </si>
  <si>
    <t>Site novo (2025/26) sem área do aluno nem plataforma de marcação; tem simulador de condução</t>
  </si>
  <si>
    <t>Rua Dr. Júlio Ferreira Constantino, 75, Ed. Primitivo, Cova da Iria, 2495-447 Fátima</t>
  </si>
  <si>
    <t>https://ecdestinus.pt/; https://escola-de-conducao.pt/escola-de-conducao-destinus-306290.html; https://www.andardemoto.pt/escolas-de-conducao/dir/d/santarem/c/ourem/p-2281/destinus/; https://www.testesdecodigogratis.com/escola-de-conducao/batalhense-de-fatima/; https://batalhense.com/; https://www.imt-ip.pt/wp-content/uploads/2025/01/EscolasdeConducao-2021.pdf</t>
  </si>
  <si>
    <t>Mira</t>
  </si>
  <si>
    <t>Escola de Condução Mirense</t>
  </si>
  <si>
    <t>231 451 189</t>
  </si>
  <si>
    <t>'marcam as aulas e desmarcam sem respeito nenhum pelos alunos' (2023, https://escola-de-conducao.pt/escola-de-conducao-mirense-lda-306503.html); 'Por 3 vezes marcaram exame de condução e por 3 vezes esqueceram-se que o marcaram' (idem)</t>
  </si>
  <si>
    <t>Dor explícita com marcação/desmarcação de aulas e exames + volume elevado (543 provas 2021)</t>
  </si>
  <si>
    <t>Av. Central, 30, 3070-141 Mira (antes Rua Marquês de Pombal)</t>
  </si>
  <si>
    <t>https://escola-de-conducao.pt/escola-de-conducao-mirense-lda-306503.html; https://www.andardemoto.pt/escolas-de-conducao/dir/d/coimbra/c/mira/p-2842/escola-de-conducao-mirensa/; https://portalnacional.com.pt/coimbra/empresas/ensino/escolas-de-conducao/2/; https://www.imt-ip.pt/wp-content/uploads/2025/01/EscolasdeConducao-2021.pdf</t>
  </si>
  <si>
    <t>Aguada de Cima</t>
  </si>
  <si>
    <t>Escola de Condução de Aguada de Cima</t>
  </si>
  <si>
    <t>234 669 222</t>
  </si>
  <si>
    <t>ecacima@hotmail.com</t>
  </si>
  <si>
    <t>https://escolasmiguelsilva.pt/contact-aguada/</t>
  </si>
  <si>
    <t>https://pt-pt.facebook.com/ECAguada/</t>
  </si>
  <si>
    <t>Seg 10:00–12:00 14:00–19:30 Ter 10:00–12:00 14:00–19:30 Qua 10:00–12:00 14:00–19:30 Qui 10:00–12:00 14:00–19:30 Sex 10:00–12:00 14:00–19:30 SÁB Encerrado Dom Encerrado — fechado ao sábado</t>
  </si>
  <si>
    <t>Delegação do grupo Escolas Miguel Silva (5 sedes) — abordar via sede em Águeda</t>
  </si>
  <si>
    <t>Rua da Miragaia nº 166 (Edifício Miragaia, Loja A), 3750-055 Aguada de Cima</t>
  </si>
  <si>
    <t>https://escolasmiguelsilva.pt/contact-aguada/; https://escola-de-conducao.pt/escola-de-conducao-aguada-de-cima-escolas-miguel-silva-306277.html; https://passaprimeira.xyz/en/districts-regions/aveiro/municipalities/agueda/schools/; https://dadosabertos.cm-agueda.pt/dataset/3213f991-5d35-4bef-9e2a-b7794f3598e8 (CM Águeda dados abertos 2023)</t>
  </si>
  <si>
    <t>Armamar</t>
  </si>
  <si>
    <t>Escola de Condução DS Armamar (Ensino de Condução Dourosul)</t>
  </si>
  <si>
    <t>Grupo AFMG (EC Lamego + EC M.G. Tarouca + EC DS Armamar); diretórios antigos chamam-lhe 'Reis Dourosul'</t>
  </si>
  <si>
    <t>254855025</t>
  </si>
  <si>
    <t>https://www.facebook.com/armamar.ec/</t>
  </si>
  <si>
    <t>Telefone/presencial (FB: 'Marque a sua presença')</t>
  </si>
  <si>
    <t>Delegação do grupo AFMG (posts com #grupoafmg); FB ativo</t>
  </si>
  <si>
    <t>Avenida Dr. Oliveira Salazar r/c, 5110-122 Armamar</t>
  </si>
  <si>
    <t>https://www.facebook.com/armamar.ec/videos/escola-de-condu%C3%A7%C3%A3o-ds-armamar-dispomos-de-um-ensino-de-qualidade-para-formar-con/564977429806544/; https://www.andardemoto.pt/escolas-de-conducao/dir/d/viseu/c/armamar/p-2311/ensino-de-conducao-dourosul/; https://www.bomcondutor.pt/escolas/escola/dourosul/; https://www.testesdecodigogratis.com/escola-de-conducao/reis-armamar/; https://www.misterwhat.pt/company/272773-escola-conducao-reis-dourosul-armamar</t>
  </si>
  <si>
    <t>Escola de Condução Bagagem</t>
  </si>
  <si>
    <t>244 767 585</t>
  </si>
  <si>
    <t>915 060 340</t>
  </si>
  <si>
    <t>https://www.facebook.com/escolabagagem</t>
  </si>
  <si>
    <t>2ª-6ª 10h-13h / 14h30-19h; Sábado 10h-13h (ABERTO sábado)</t>
  </si>
  <si>
    <t>Volume médio-alto (394 exames 2021, 86% aprovação teórica); sem app conhecida</t>
  </si>
  <si>
    <t>Urb. do Infante, Rua Ribeira da Calva, Lote 5, N.º 4, Loja C - 2440-057 Batalha</t>
  </si>
  <si>
    <t>https://passaprimeira.xyz/distritos-regioes/leiria/concelhos/batalha/escolas/bagagem-01012/; https://escola-de-conducao.pt/escola-de-conducao-bagagem-306491.html; https://www.bomcondutor.pt/escolas/escola/bagagem-2</t>
  </si>
  <si>
    <t>Coruche</t>
  </si>
  <si>
    <t>Escola de Condução Andrade</t>
  </si>
  <si>
    <t>243 675 929</t>
  </si>
  <si>
    <t>escolandrade@gmail.com</t>
  </si>
  <si>
    <t>https://www.facebook.com/pages/Escola-de-Condu%C3%A7%C3%A3o-Andrade/252557324882062</t>
  </si>
  <si>
    <t>Volume mais alto do concelho (531 provas em 2021); o site antigo (educacao-rodoviaria.pt/ec-andrade) dá 404; sem app própria. Empresa: Paulo Andrade, Lda</t>
  </si>
  <si>
    <t>Avenida 5 de Outubro, 6, 1º F/D, 2100-127 Coruche</t>
  </si>
  <si>
    <t>https://www.autonews.pt/escolas-de-conducao/dir/d/santarem/c/coruche/p-2108/escola-de-conducao-andrade/; https://escolasconducao.com/escola/paulo-andrade-lda; https://www.municipiosefreguesias.pt/entidade/166416/escola-de-conducao-andrade--coruche; https://www.imt-ip.pt/wp-content/uploads/2025/01/EscolasdeConducao-2021.pdf</t>
  </si>
  <si>
    <t>Escola de Condução Tomar Drive (TomarDrive)</t>
  </si>
  <si>
    <t>249 327 025</t>
  </si>
  <si>
    <t>960 372 610</t>
  </si>
  <si>
    <t>https://www.facebook.com/tomardrive</t>
  </si>
  <si>
    <t>Presencial/telefone (sem plataforma online visível)</t>
  </si>
  <si>
    <t>Seg/Qua/Sex 09:00-13:00 e 14:00-19:00; Ter/Qui até 20:00; Sábado 09:00-13:00 (ABERTO sábado de manhã)</t>
  </si>
  <si>
    <t>'foi raríssimo ter duas aulas seguidas, mesmo depois de reforçar o quanto isso me ajudaria... me poupar as viagens e esperas' - https://escola-de-conducao.pt/escola-de-conducao-tomar-drive-306238.html; 'Pouco profissionalismo' (1/5, 2023) - https://escola-de-conducao.pt/escola-de-conducao-tomar-drive-306238.html</t>
  </si>
  <si>
    <t>Volume elevado (403 exames 2021, maior taxa de aprovação de Tomar), 189 avaliações Google, sem app própria; queixa sobre dificuldade em encadear aulas. Aberta em 2019 por Amílcar Ferreira (ex-diretor da Estrela do Nabão).</t>
  </si>
  <si>
    <t>Estrada do Barreiro, 9B, 2300-442 Tomar</t>
  </si>
  <si>
    <t>https://escola-de-conducao.pt/escola-de-conducao-tomar-drive-306238.html; https://tomarnarede.pt/destaque/nova-escola-de-conducao-abre-em-tomar/; https://omirante.pt/sociedade/2019-09-11-A-Escola-de-Conducao-TomarDrive-nao-cobra-taxa-de-reprovacao; https://www.imt-ip.pt/wp-content/uploads/2025/01/EscolasdeConducao-2021.pdf</t>
  </si>
  <si>
    <t>Britiande</t>
  </si>
  <si>
    <t>Escola de Condução Egas Moniz</t>
  </si>
  <si>
    <t>Provável grupo Lopes de Almeida (mesmo código postal 5100-344 da sede Lopes de Almeida) - por confirmar</t>
  </si>
  <si>
    <t>Provavelmente parte do grupo Lopes de Almeida (Lamego/Britiande/Tarouca); sem presença digital encontrada - verificar se opera</t>
  </si>
  <si>
    <t>Rua Francisco Sá Carneiro, Britiande (CP indicado 5100-344)</t>
  </si>
  <si>
    <t>https://www.andardemoto.pt/escolas-de-conducao/dir/d/viseu/c/lamego/p-2294/egas-moniz/; https://www.racius.com/lopes-de-almeida-escolas-de-conducao-lda/</t>
  </si>
  <si>
    <t>Figueira de Castelo Rodrigo</t>
  </si>
  <si>
    <t>Escola de Condução Figueirense (Américo António Pires, Lda)</t>
  </si>
  <si>
    <t>Provável grupo familiar Américo Pires (Figueirense + Américo e Pires/Vilar Formoso) - a confirmar</t>
  </si>
  <si>
    <t>271312131</t>
  </si>
  <si>
    <t>Provável grupo de 2 escolas (sociedades Américo António Pires / Américo &amp; Pires) - confirmar na visita</t>
  </si>
  <si>
    <t>Rua Artur Costa, Nº 12 r/c, 6440-031 Figueira de Castelo Rodrigo</t>
  </si>
  <si>
    <t>https://passaprimeira.xyz/distritos-regioes/guarda/concelhos/figueira-de-castelo-rodrigo/escolas/figueirense-00322/; https://escolasconducao.com/escola/americo-antonio-pires-lda; https://www.andardemoto.pt/escolas-de-conducao/dir/d/guarda/c/figueira-de-castelo-rodrigo/p-2697/escola-de-conducao-figueirense/</t>
  </si>
  <si>
    <t>Gouveia</t>
  </si>
  <si>
    <t>Escola de Condução S. Cristóvão - Gouveia</t>
  </si>
  <si>
    <t>S. Cristóvão (Gouveia + Penalva do Castelo, distrito de Viseu)</t>
  </si>
  <si>
    <t>238492217</t>
  </si>
  <si>
    <t>Grupo multi-sítio (IMT 2021 lista 'S Cristóvão - Gouveia' e 'S Cristóvão - Penalva do Castelo')</t>
  </si>
  <si>
    <t>Rua Barros Lobo, Nº 23, 6290-512 Gouveia</t>
  </si>
  <si>
    <t>https://passaprimeira.xyz/distritos-regioes/guarda/concelhos/gouveia/escolas/s-cristovao-gouveia-00195/; https://www.andardemoto.pt/escolas-de-conducao/dir/d/guarda/c/gouveia/p-3420/sao-cristovao-gouveia/; https://transitoagora.pt/escolas-conducao</t>
  </si>
  <si>
    <t>Maceira</t>
  </si>
  <si>
    <t>Escola de Condução da Maceira</t>
  </si>
  <si>
    <t>244 772 590</t>
  </si>
  <si>
    <t>914 908 349</t>
  </si>
  <si>
    <t>https://www.facebook.com/escoladeconducao.maceira</t>
  </si>
  <si>
    <t>Volume médio-alto (382 exames 2021); sem dados digitais adicionais</t>
  </si>
  <si>
    <t>Estrada Nacional 356, Campos - 2405-009 Maceira</t>
  </si>
  <si>
    <t>https://passaprimeira.xyz/distritos-regioes/leiria/concelhos/leiria/escolas/maceira-00694/; https://www.bomcondutor.pt/escolas/escola/maceira; https://www.andardemoto.pt/escolas-de-conducao/dir/d/leiria/c/leiria/p-2560/escola-de-conducao-da-maceira/</t>
  </si>
  <si>
    <t>Salvaterra de Magos</t>
  </si>
  <si>
    <t>Escola de Condução Conde de Marialva</t>
  </si>
  <si>
    <t>263 505 494</t>
  </si>
  <si>
    <t>Volume alto para a zona (489 provas em 2021), sem website nem app própria</t>
  </si>
  <si>
    <t>Rua Marquês de Pombal, N.º 30, 2120-095 Salvaterra de Magos</t>
  </si>
  <si>
    <t>https://www.bomcondutor.pt/escolas/escola/conde-de-marialva; https://www.autonews.pt/escolas-de-conducao/dir/d/santarem/c/salvaterra-de-magos/p-2541/escola-de-conducao-conde-marialva/; https://escolasconducao.com/escola/escola-de-conducao-conde-de-marialva; https://www.imt-ip.pt/wp-content/uploads/2025/01/EscolasdeConducao-2021.pdf</t>
  </si>
  <si>
    <t>Escola de Condução Moderna de Tomar (Ensino de Condução Moderna Cruz &amp; Cruz)</t>
  </si>
  <si>
    <t>249 313 274 / 249 322 534</t>
  </si>
  <si>
    <t>912 344 124</t>
  </si>
  <si>
    <t>https://www.facebook.com/modernatomar/</t>
  </si>
  <si>
    <t>Telefone/presencial ('Quando liguei pra fazer a marcação...' - avaliação Google)</t>
  </si>
  <si>
    <t>Seg-Sex 09:30-12:30 e 14:30-20:00; Sábado de manhã (10:00-12:00 segundo diretórios) (ABERTO sábado)</t>
  </si>
  <si>
    <t>Volume elevado (509 exames 2021), escola desde 1956, sem website nem app própria - só Facebook.</t>
  </si>
  <si>
    <t>Rua João de Oliveira Casquilho, 25, 2300-576 Tomar (pedido de mudança para Rua Coronel Garcês Teixeira, 14 A pendente no IMT)</t>
  </si>
  <si>
    <t>https://escola-de-conducao.pt/escola-de-conducao-moderna-de-tomar-306028.html; https://www.testesdecodigogratis.com/escola-de-conducao/moderna-de-tomar/; https://www.racius.com/ensino-de-conducao-moderna-cruz-cruz-lda/; https://www.imt-ip.pt/wp-content/uploads/2025/01/Mudanca-Instalacoes_15-01-2025.pdf; https://www.imt-ip.pt/wp-content/uploads/2025/01/EscolasdeConducao-2021.pdf</t>
  </si>
  <si>
    <t>Escola de Condução da Lourinhã</t>
  </si>
  <si>
    <t>261 413 222</t>
  </si>
  <si>
    <t>https://www.facebook.com/escola.conducao.lourinha/</t>
  </si>
  <si>
    <t>Presencial/telefone; aulas de condução diárias 7h-22h (segundo diretório)</t>
  </si>
  <si>
    <t>2ª-6ª 10h-12h e 14h-20h; Sábado 10h-13h (ABERTO sábado de manhã) - Google</t>
  </si>
  <si>
    <t>Volume médio (381), avaliações excelentes, sem sinais de dor</t>
  </si>
  <si>
    <t>Avenida António José de Almeida, 10 R/C, 2530-113 Lourinhã</t>
  </si>
  <si>
    <t>https://www.bomcondutor.pt/escolas/escola/lourinha; https://escola-de-conducao.pt/escola-de-conducao-da-lourinha-306152.html; https://www.municipiosefreguesias.pt/entidade/166558/escola-de-conducao-da-lourinha-lda; https://passaprimeira.xyz/distritos-regioes/lisboa/concelhos/lourinha/escolas/; https://www.imt-ip.pt/wp-content/uploads/2025/01/EscolasdeConducao-2021.pdf</t>
  </si>
  <si>
    <t>Escola de Condução de Torres Vedras</t>
  </si>
  <si>
    <t>261 325 220</t>
  </si>
  <si>
    <t>939 502 352 (secretaria); 936 911 391; 932 654 760</t>
  </si>
  <si>
    <t>geral@escolaconducao-tv.com</t>
  </si>
  <si>
    <t>https://escolaconducao-tv.com/</t>
  </si>
  <si>
    <t>https://www.facebook.com/groups/103044579749717/</t>
  </si>
  <si>
    <t>Presencial/telefone; aulas práticas 9h-24h segundo o site</t>
  </si>
  <si>
    <t>Site: 2ª a Sábado secretaria 9h-22h (almoço 13h-15h); Google: 2ª-6ª 10h-13h e 15h-20h, Sábado 09h-13h (ABERTO sábado de manhã)</t>
  </si>
  <si>
    <t>AM, A1, A, B, C</t>
  </si>
  <si>
    <t>Volume médio (364), presença digital datada, sem sinais de dor</t>
  </si>
  <si>
    <t>Site WordPress antigo (2010-2012), sem área do aluno nem e-learning</t>
  </si>
  <si>
    <t>Urbanização do Hilarião, Ed. Sol Nascente, Bloco A R/C 3 (R. Evaristo da Silva), 2560-374 Torres Vedras</t>
  </si>
  <si>
    <t>https://escolaconducao-tv.com/?page_id=2; https://escolaconducao-tv.com/?page_id=8; https://escola-de-conducao.pt/escola-de-conducao-de-torres-vedras-305989.html; https://passaprimeira.xyz/distritos-regioes/lisboa/concelhos/torres-vedras/escolas/; https://www.imt-ip.pt/wp-content/uploads/2025/01/EscolasdeConducao-2021.pdf</t>
  </si>
  <si>
    <t>Escola de Condução O Farol (ex-Estrela de Almeida)</t>
  </si>
  <si>
    <t>234 391 371</t>
  </si>
  <si>
    <t>Seg-Sex 09:00-20:00; Sábado 09:00-12:30 (aberto ao sábado de manhã)</t>
  </si>
  <si>
    <t>Provável 2.ª escola do operador Prina (mesmo telefone); a mesma morada era a antiga Estrela de Almeida (ecealmeida@gmail.com, 234 391 371 na Andar de Moto)</t>
  </si>
  <si>
    <t>Av. José Estêvão, 612, 3830-556 Gafanha da Nazaré</t>
  </si>
  <si>
    <t>https://escola-de-conducao.pt/escola-de-conducao-o-farol-306279.html (rating Google via snapshot escola-de-conducao.pt); https://www.andardemoto.pt/escolas-de-conducao/dir/d/aveiro/c/ilhavo/p-2675/escola-de-conducao-estrela-de-almeida/</t>
  </si>
  <si>
    <t>Aveiro (3810-732)</t>
  </si>
  <si>
    <t>Escola de Condução Rainha de Aveiro</t>
  </si>
  <si>
    <t>234 948 303</t>
  </si>
  <si>
    <t>913 320 203</t>
  </si>
  <si>
    <t>https://www.facebook.com/rainhadeaveiro</t>
  </si>
  <si>
    <t>Do grupo Bordalo segundo o bomcondutor, mas sem dados IMT 2019-2021 nem reviews; confirmar se ainda funciona antes de visitar</t>
  </si>
  <si>
    <t>Rua de Aveiro, n.º 1, 3810-732 Aveiro</t>
  </si>
  <si>
    <t>https://www.bomcondutor.pt/escolas/escola/rainha-de-aveiro; https://www.on-pt.com/pt/escolas-e-educacao/aveiro/escola-de-conducao-rainha-de-aveiro-mamodeiro/</t>
  </si>
  <si>
    <t>Malaposta (Anadia)</t>
  </si>
  <si>
    <t>Escola de Condução Red Line Malaposta</t>
  </si>
  <si>
    <t>Red Line (Escola de Condução Red Line By MM, Unip. Lda)</t>
  </si>
  <si>
    <t>928 163 963</t>
  </si>
  <si>
    <t>https://www.facebook.com/RedLineMalaposta/</t>
  </si>
  <si>
    <t>Seg 09:00–19:00 Ter 09:00–19:00 Qua 09:00–19:00 Qui 09:00–19:00 Sex 09:00–19:00 SÁB 09:00–13:00 Dom Encerrado — aberto sábado de manhã</t>
  </si>
  <si>
    <t>Ciclomotores, motociclos, ligeiros e pesados (objeto social, Racius)</t>
  </si>
  <si>
    <t>Escola recente (empresa de 2022) com avaliações muito ativas 2023-24; sede social em Av. Eng. Tavares da Silva 97 (mesmo edifício da ex-Prioridade) sugere 2.º local — possível multi-sede</t>
  </si>
  <si>
    <t>Sem website encontrado; ficha Google indica "Aulas online"</t>
  </si>
  <si>
    <t>Estrada Nacional 1, Edifício das Lages, Bl 4, Fr. BD, 3780-294 Anadia</t>
  </si>
  <si>
    <t>https://escola-de-conducao.pt/escola-de-conducao-red-line-malaposta-305930.html; https://www.racius.com/escola-de-conducao-red-line-by-mm-unipessoal-lda/; https://www.facebook.com/RedLineMalaposta/</t>
  </si>
  <si>
    <t>Palhaça</t>
  </si>
  <si>
    <t>Escola de Condução da Palhaça (ex-"Bairrada")</t>
  </si>
  <si>
    <t>234 181 990</t>
  </si>
  <si>
    <t>ecms.palhaca@gmail.com</t>
  </si>
  <si>
    <t>https://escolasmiguelsilva.pt/contact-palhaca/</t>
  </si>
  <si>
    <t>Delegação do grupo Escolas Miguel Silva (não aparece nos dados IMT 2019-21 — provavelmente secção de outra licença do grupo)</t>
  </si>
  <si>
    <t>Rua do Areeiro nº 14 A/B, 3770-352 Palhaça</t>
  </si>
  <si>
    <t>https://escolasmiguelsilva.pt/contact-palhaca/; https://www.andardemoto.pt/escolas-de-conducao/dir/d/aveiro/c/oliveira-do-bairro/p-2185/bairrada/</t>
  </si>
  <si>
    <t>Escola de Condução Especial Senhora dos Remédios</t>
  </si>
  <si>
    <t>Possível grupo Ribeiro Ferreira (Tomás Ribeiro Ferreira Unip. Lda na mesma morada + Luciano T. Ribeiro Ferreira em Armamar) - por confirmar</t>
  </si>
  <si>
    <t>254655895</t>
  </si>
  <si>
    <t>especialremedios@sapo.pt (só no diretório fornecido; não reverificado)</t>
  </si>
  <si>
    <t>http://www.educacao-rodoviaria.pt/ec-sraremedios/ (antigo); ecsraremedios.wixsite.com (404)</t>
  </si>
  <si>
    <t>https://www.facebook.com/p/Escola-de-Condu%C3%A7%C3%A3o-Senhora-dos-Rem%C3%A9dios-100057926107810/</t>
  </si>
  <si>
    <t>4.5/5 (escola-de-conducao.pt, proxy)</t>
  </si>
  <si>
    <t>Seg-Sex 9h-12h e 14h-19h; Sáb: desconhecido</t>
  </si>
  <si>
    <t>A, B, C, D</t>
  </si>
  <si>
    <t>Provável grupo multi-site (Lamego + Armamar, entidades Ribeiro Ferreira), FB com 1736 seguidores, ensina categorias pesadas (C/D)</t>
  </si>
  <si>
    <t>Quinta/Urbanização do Paraíso, Bloco 3 r/c, 5100-187 Lamego</t>
  </si>
  <si>
    <t>https://www.facebook.com/p/Escola-de-Condu%C3%A7%C3%A3o-Senhora-dos-Rem%C3%A9dios-100057926107810/; https://escola-de-conducao.pt/escola-de-conducao-senhora-dos-remedios-306444.html; https://www.racius.com/especial-senhora-dos-remedios-escola-de-conducao-lda/; https://www.racius.com/tomas-ribeiro-ferreira-unipessoal-lda/; https://www.amarelas.pt/c/lamego-especial-senhora-dos-remedios-escola-de-conducao-lda-113429</t>
  </si>
  <si>
    <t>Celorico da Beira</t>
  </si>
  <si>
    <t>Escola de Condução G. Gomes - Celorico da Beira</t>
  </si>
  <si>
    <t>Delegação do grupo G. Gomes</t>
  </si>
  <si>
    <t>Rua Sacadura Cabral, Nº 16, 6360-350 Celorico da Beira</t>
  </si>
  <si>
    <t>https://passaprimeira.xyz/distritos-regioes/guarda/concelhos/celorico-da-beira/escolas/g-gomes-celorico-da-beira-00475/; https://www.andardemoto.pt/escolas-de-conducao/dir/d/guarda/c/celorico-da-beira/p-2713/escola-de-conducao-g-gomes-celorico-da-beira/</t>
  </si>
  <si>
    <t>Monte Redondo</t>
  </si>
  <si>
    <t>Escola de Condução Monte Redondo</t>
  </si>
  <si>
    <t>244 684 684</t>
  </si>
  <si>
    <t>910 158 846</t>
  </si>
  <si>
    <t>https://www.facebook.com/escconducao.monteredondo</t>
  </si>
  <si>
    <t>Volume médio (345 exames 2021); sem dados digitais adicionais</t>
  </si>
  <si>
    <t>Estrada Nacional 109, 4-B, Bregeira - 2425-603 Monte Redondo</t>
  </si>
  <si>
    <t>https://passaprimeira.xyz/distritos-regioes/leiria/concelhos/leiria/escolas/monte-redondo-00880/; https://www.bomcondutor.pt/escolas/escola/monte-redondo; https://www.andardemoto.pt/escolas-de-conducao/dir/d/leiria/c/leiria/p-2857/escola-de-conducao-monte-redondo/</t>
  </si>
  <si>
    <t>Escola de Condução Técnica</t>
  </si>
  <si>
    <t>Volume médio (340 exames 2021, boa aprovação); sem presença digital encontrada</t>
  </si>
  <si>
    <t>Rua Marquês de Pombal, 25 A cave Dta - 2500-235 Caldas da Rainha</t>
  </si>
  <si>
    <t>https://passaprimeira.xyz/distritos-regioes/leiria/concelhos/caldas-da-rainha/escolas/tecnica-01346/</t>
  </si>
  <si>
    <t>Samora Correia</t>
  </si>
  <si>
    <t>Escola de Condução Lezíria</t>
  </si>
  <si>
    <t>Volume alto (467 provas em 2021); sem website nem app própria encontrados</t>
  </si>
  <si>
    <t>Rua dos Álamos, Lote 42, R/C Dto, 2135-003 Samora Correia</t>
  </si>
  <si>
    <t>https://www.autonews.pt/escolas-de-conducao/dir/d/santarem/c/benavente/p-2878/leziria/; https://escola-de-conducao.pt/samora-correia/escola-de-conducao/256-escola-de-conducao-leziria.html; https://www.imt-ip.pt/wp-content/uploads/2025/01/EscolasdeConducao-2021.pdf</t>
  </si>
  <si>
    <t>Escola de Condução Centro de Portugal ("Zé Pais")</t>
  </si>
  <si>
    <t>239 712 490</t>
  </si>
  <si>
    <t>escoladeconducaocentroportugal@gmail.com</t>
  </si>
  <si>
    <t>https://escoladeconducaocp.pt/</t>
  </si>
  <si>
    <t>https://www.facebook.com/Escolaconducaocentroportugal/</t>
  </si>
  <si>
    <t>https://www.instagram.com/escoladeconducaocentroportugal/</t>
  </si>
  <si>
    <t>Pré-inscrição no site + agendamento via alista.pt (marketplace de marcações)</t>
  </si>
  <si>
    <t>Seg-Sex 08:30-20:00; Sábado 09:00-13:00 (aberto ao sábado)</t>
  </si>
  <si>
    <t>Avaliação refere escola do 'mesmo grupo' em Malaposta: 'muito fraca e desorganizada' (https://escola-de-conducao.pt/escola-de-conducao-centro-de-portugal-305928.html)</t>
  </si>
  <si>
    <t>Volume médio-alto (468 provas 2021), presença digital moderna (site, Instagram, marcação online) = abertura a tecnologia; ainda sem app próprio para alunos</t>
  </si>
  <si>
    <t>Site com formulário de pré-inscrição e marcação via plataforma externa alista.pt; widget WhatsApp no código do site</t>
  </si>
  <si>
    <t>Rua do Brasil, 191, 3030-175 Coimbra</t>
  </si>
  <si>
    <t>https://escoladeconducaocp.pt/; https://escola-de-conducao.pt/escola-de-conducao-centro-de-portugal-305928.html; https://www.imt-ip.pt/wp-content/uploads/2025/01/EscolasdeConducao-2021.pdf; https://portalnacional.com.pt/coimbra/empresas/ensino/escolas-de-conducao/3/</t>
  </si>
  <si>
    <t>Mortágua</t>
  </si>
  <si>
    <t>Escola de Condução Mortaguense / 'do Emigrante' Mortágua (alvará IMT 339 'Nova de Esgueira')</t>
  </si>
  <si>
    <t>Possível ligação ao Grupo Emigrante (por confirmar)</t>
  </si>
  <si>
    <t>231922103</t>
  </si>
  <si>
    <t>Alvará 339 transferido de Aveiro para Mortágua em 2020-21; marca atual incerta ('do Emigrante' / 'Mortaguense' nos diretórios). Sem redes nem avaliações encontradas</t>
  </si>
  <si>
    <t>Rua Dr. José Assis e Santos 89, 3450-123 Mortágua</t>
  </si>
  <si>
    <t>https://passaprimeira.xyz/distritos-regioes/viseu/concelhos/mortagua/escolas/nova-de-esgueira-00339/; https://www.autonews.pt/escolas-de-conducao/dir/d/viseu/c/mortagua/p-2643/escola-de-conducao-do-emigrante/; https://viseu-distrito.infoisinfo.com.pt/busca/escola_conducao</t>
  </si>
  <si>
    <t>Penedono</t>
  </si>
  <si>
    <t>Escola de Condução Penedonense (provavelmente = 'Escola de Condução - NELO')</t>
  </si>
  <si>
    <t>Possível ligação à Escola de Condução Progresso (Alfândega da Fé) - o 2.º telefone 279462374 coincide; por confirmar</t>
  </si>
  <si>
    <t>254549138; 279462374</t>
  </si>
  <si>
    <t>http://www.educacao-rodoviaria.pt/ec-penedonense/ (404)</t>
  </si>
  <si>
    <t>4.7/5 ('Escola de Condução - NELO', escola-de-conducao.pt, proxy)</t>
  </si>
  <si>
    <t>Escola pequena sem presença digital ativa; possível grupo transmontano por confirmar</t>
  </si>
  <si>
    <t>Travessa do Castelo, 3630-240 Penedono</t>
  </si>
  <si>
    <t>https://www.bomcondutor.pt/escolas/escola/penedonense; https://www.andardemoto.pt/escolas-de-conducao/dir/d/viseu/c/penedono/p-3326/penedonense/; https://escola-de-conducao.pt/escola-de-conducao-nelo-306294.html; https://codigopostal.ciberforma.pt/dir/0/escola-conducao-progresso/</t>
  </si>
  <si>
    <t>Escola de Condução Reis - Moimenta da Beira (Veículos e Condutores)</t>
  </si>
  <si>
    <t>Escolas Reis</t>
  </si>
  <si>
    <t>254529005</t>
  </si>
  <si>
    <t>veiculosecondutores@escolasreis.com</t>
  </si>
  <si>
    <t>www.escolasreis.pt (caducado)</t>
  </si>
  <si>
    <t>Delegação do grupo Escolas Reis</t>
  </si>
  <si>
    <t>Avenida Dr. João Lima Gomes, Lote 2 Dto, 3620-301 Moimenta da Beira</t>
  </si>
  <si>
    <t>https://www.andardemoto.pt/escolas-de-conducao/dir/d/viseu/c/moimenta-da-beira/p-3267/moimenta-da-beira/; https://www.bomcondutor.pt/escolas/escola/reis-moimenta-da-beira/</t>
  </si>
  <si>
    <t>Tabuaço</t>
  </si>
  <si>
    <t>Escola de Condução Reis - Tabuaço (Beira Douro)</t>
  </si>
  <si>
    <t>254789418</t>
  </si>
  <si>
    <t>Rua Doutor Luís de Freitas, 5120-415 Tabuaço</t>
  </si>
  <si>
    <t>https://www.andardemoto.pt/escolas-de-conducao/dir/d/viseu/c/tabuaco/p-2194/beira-douro/; https://www.bomcondutor.pt/escolas/escola/reis-tabuaco</t>
  </si>
  <si>
    <t>Escola de Condução de Nelas</t>
  </si>
  <si>
    <t>232944180; 232942393</t>
  </si>
  <si>
    <t>962806877; 968588469</t>
  </si>
  <si>
    <t>https://www.facebook.com/p/Escola-de-Condu%C3%A7%C3%A3o-de-Nelas-100054678553366/</t>
  </si>
  <si>
    <t>https://www.instagram.com/e.c.nelasfrb/</t>
  </si>
  <si>
    <t>Desorganização: 'Serviço pessimo e compleatmente desorganizados os alunos no codigo ficam por si mesmo a estudar' (1/5, 2023) https://escola-de-conducao.pt/escola-de-conducao-de-nelas-306628.html</t>
  </si>
  <si>
    <t>Sinal de dor (desorganização) e rating Google baixo (3.1); Facebook ~1.150 seguidores</t>
  </si>
  <si>
    <t>Sem website (rotadaestrela.pt referido num diretório está em baixo)</t>
  </si>
  <si>
    <t>Av. Prof. Dr. Fortunato de Almeida – Edifício do Areal, 3520-056 Nelas (Google: R. Dr. Almeida Henriques 1 r/c)</t>
  </si>
  <si>
    <t>https://escola-de-conducao.pt/escola-de-conducao-de-nelas-306628.html; https://passaprimeira.xyz/distritos-regioes/viseu/concelhos/nelas/escolas/nelas-00367/; https://www.autonews.pt/escolas-de-conducao/dir/d/viseu/c/nelas/p-3220/escola-de-conducao-nelas/; https://www.testesdecodigogratis.com/escola-de-conducao/nelas/; https://www.instagram.com/e.c.nelasfrb/</t>
  </si>
  <si>
    <t>Paul</t>
  </si>
  <si>
    <t>Escola de Condução Sra. Esperança</t>
  </si>
  <si>
    <t>275962235</t>
  </si>
  <si>
    <t>Delegação do grupo Prevenção de Belmonte (andardemoto lista 'Escola Condução Prevenção de Belmonte' nesta morada)</t>
  </si>
  <si>
    <t>Estrada do Santuário, Nº 38 R/C Esq, 6215-460 Paul</t>
  </si>
  <si>
    <t>https://passaprimeira.xyz/distritos-regioes/castelo-branco/concelhos/covilha/escolas/sra-esperanca-00612/; https://www.andardemoto.pt/escolas-de-conducao/dir/d/castelo-branco/c/covilha/p-2379/escola-conducao-prevencao-de-belmonte/</t>
  </si>
  <si>
    <t>Penamacor</t>
  </si>
  <si>
    <t>Escola de Condução de Penamacor</t>
  </si>
  <si>
    <t>277394318</t>
  </si>
  <si>
    <t>http://www.facebook.com/escolaconducao.depenamacor</t>
  </si>
  <si>
    <t>Telefone associado ao NIF 507289390 (Prevenção de Belmonte) no eInforma -&gt; provável delegação do grupo</t>
  </si>
  <si>
    <t>Av. 25 de Abril, nº 21, 6090-522 Penamacor</t>
  </si>
  <si>
    <t>https://passaprimeira.xyz/distritos-regioes/castelo-branco/concelhos/penamacor/escolas/penamacor-00621/; https://escola-de-conducao.pt/escola-de-conducao-306299.html; https://www.testesdecodigogratis.com/escola-de-conducao/penamacor/; https://www.einforma.pt/servlet/app/portal/ENTP/prod/ETIQUETA_EMPRESA_TELEFONE/nif/507289390/telefone/277394318/</t>
  </si>
  <si>
    <t>Trancoso</t>
  </si>
  <si>
    <t>Escola de Condução Reis - Trancoso</t>
  </si>
  <si>
    <t>Escolas Reis (Reis, Reis Tabuaço, Reis Trancoso)</t>
  </si>
  <si>
    <t>http://www.escolasreis.pt (não resolve)</t>
  </si>
  <si>
    <t>http://www.facebook.com/escolareis.ecreis</t>
  </si>
  <si>
    <t>Delegação de grupo multi-sítio (Escolas Reis, 3 escolas no IMT 2021)</t>
  </si>
  <si>
    <t>Av. Fernando Pessoa, Nº 8 R/C Dto, 6420-018 Trancoso</t>
  </si>
  <si>
    <t>https://passaprimeira.xyz/distritos-regioes/guarda/concelhos/trancoso/escolas/reis-trancoso-00220/; https://www.testesdecodigogratis.com/escola-de-conducao/reis-trancoso/; https://transitoagora.pt/escolas-conducao</t>
  </si>
  <si>
    <t>Peniche</t>
  </si>
  <si>
    <t>Escola de Condução Berlenga</t>
  </si>
  <si>
    <t>262 999 092</t>
  </si>
  <si>
    <t>2ª-6ª 10h-20h; Sábado 10h-17h30 (ABERTO sábado)</t>
  </si>
  <si>
    <t>Maior escola de Peniche (319 exames 2021); sem presença digital encontrada</t>
  </si>
  <si>
    <t>Av. do Porto de Pesca, Lote 5 - 1.º - 2520-208 Peniche</t>
  </si>
  <si>
    <t>https://passaprimeira.xyz/distritos-regioes/leiria/concelhos/peniche/escolas/berlenga-01211/; https://escola-de-conducao.pt/escola-de-conducao-berlenga-lda-306806.html; https://www.andardemoto.pt/escolas-de-conducao/dir/d/leiria/c/peniche/p-2196/berlenga/</t>
  </si>
  <si>
    <t>Nazaré</t>
  </si>
  <si>
    <t>Escola de Condução Sete Saias</t>
  </si>
  <si>
    <t>262 568 142</t>
  </si>
  <si>
    <t>Google indica 9h-17h todos os dias (dados possivelmente incorretos) - confirmar sábado</t>
  </si>
  <si>
    <t>Principal escola da Nazaré (324 exames 2021); sem presença digital encontrada</t>
  </si>
  <si>
    <t>Rua Mouzinho de Albuquerque, 186/189 - 2450 Nazaré</t>
  </si>
  <si>
    <t>https://passaprimeira.xyz/distritos-regioes/leiria/concelhos/nazare/escolas/sete-saias-01229/; https://escola-de-conducao.pt/escola-de-conducao-sete-saias-unipessoal-lda-306767.html; https://www.andardemoto.pt/escolas-de-conducao/dir/d/leiria/c/nazare/p-3030/escola-de-conducao-sete-saias/</t>
  </si>
  <si>
    <t>Escola de Condução Abrantina</t>
  </si>
  <si>
    <t>241 362 090</t>
  </si>
  <si>
    <t>https://www.facebook.com/abrantina.escolaconducao/</t>
  </si>
  <si>
    <t>Volume médio-alto (462 provas em 2021) sem website nem app própria; presença digital mínima (perfil pessoal no Facebook)</t>
  </si>
  <si>
    <t>Tapada do Chafariz, Rua Projectada à Av. 25 de Abril, Lote 7 R/C Dto, 2200-235 Abrantes</t>
  </si>
  <si>
    <t>https://www.bomcondutor.pt/escolas/escola/abrantina; https://www.autonews.pt/escolas-de-conducao/dir/d/santarem/c/abrantes/p-2239/escola-de-conducao-abrantina/; https://escolasconducao.com/escola/escola-de-conducao-especial-abrantina-lda; https://www.imt-ip.pt/wp-content/uploads/2025/01/EscolasdeConducao-2021.pdf</t>
  </si>
  <si>
    <t>Escola de Condução Oceano</t>
  </si>
  <si>
    <t>261 314 069</t>
  </si>
  <si>
    <t>https://www.facebook.com/escoladeconducao.oceano/</t>
  </si>
  <si>
    <t>Volume médio (322), sem dados de dor</t>
  </si>
  <si>
    <t>Rua Dr. Aurélio Ricardo Belo, nº 2-A, 2560-324 Torres Vedras</t>
  </si>
  <si>
    <t>https://www.bomcondutor.pt/escolas/escola/oceano; https://www.municipiosefreguesias.pt/entidade/166835/escola-de-conducao-oceano-lda--torres-vedras; https://passaprimeira.xyz/distritos-regioes/lisboa/concelhos/torres-vedras/escolas/; https://www.imt-ip.pt/wp-content/uploads/2025/01/EscolasdeConducao-2021.pdf</t>
  </si>
  <si>
    <t>Escola de Condução Auto Fama</t>
  </si>
  <si>
    <t>234 623 495</t>
  </si>
  <si>
    <t>escola.fama@gmail.com</t>
  </si>
  <si>
    <t>https://pt-pt.facebook.com/Escola-de-condu%C3%A7%C3%A3o-Auto-Fama-1602182443397691/</t>
  </si>
  <si>
    <t>Presencial (cliente queixa-se de que não dão informação por telefone)</t>
  </si>
  <si>
    <t>Seg 09:00–12:00 14:00–19:30 Ter 09:00–12:00 14:00–19:30 Qua 09:00–12:00 14:00–19:30 Qui 09:00–12:00 14:00–19:30 Sex 09:00–12:00 14:00–19:30 SÁB 09:00–12:00 Dom Encerrado — aberto sábado de manhã</t>
  </si>
  <si>
    <t>"preciso de saber o custo de uma carta de condução e nao informam telefonicamente ... Não gostei do modo de atendimento" (1★, 13/03/2023) https://escola-de-conducao.pt/escola-de-conducao-autofama-306278.html</t>
  </si>
  <si>
    <t>Maior volume de Águeda (327 exames 2021), sem website/app; queixa de atendimento telefónico</t>
  </si>
  <si>
    <t>Rua Joaquim Valente de Almeida 126, 3750-154 Águeda</t>
  </si>
  <si>
    <t>https://escola-de-conducao.pt/escola-de-conducao-autofama-306278.html; https://dadosabertos.cm-agueda.pt/dataset/3213f991-5d35-4bef-9e2a-b7794f3598e8 (CM Águeda dados abertos 2023); https://www.bomcondutor.pt/escolas/escola/autofama; https://passaprimeira.xyz/en/districts-regions/aveiro/municipalities/agueda/schools/</t>
  </si>
  <si>
    <t>Vila Nova de Paiva</t>
  </si>
  <si>
    <t>Escola de Condução Paivense</t>
  </si>
  <si>
    <t>Referida (fonte antiga) como parte do Grupo Rota da Estrela; email/Facebook atuais sugerem gestão própria (Filipa Ramos Barros) — verificar</t>
  </si>
  <si>
    <t>232604383</t>
  </si>
  <si>
    <t>962664117</t>
  </si>
  <si>
    <t>paivense.filiparamosbarros@gmail.com</t>
  </si>
  <si>
    <t>https://www.facebook.com/e.c.paivensefrb</t>
  </si>
  <si>
    <t>4.2 (escola-de-conducao.pt (agregado, não confirmado como Google))</t>
  </si>
  <si>
    <t>Seg-Sex 9h-19h; Sáb 9h-12h</t>
  </si>
  <si>
    <t>Volume muito baixo (84 provas 2021); Facebook ativo (991 seguidores, 13 'falam sobre isto'); ligação a grupo não confirmada.</t>
  </si>
  <si>
    <t>Av. Aquilino Ribeiro, 9 (também R. Aquilino Ribeiro, n.º 46), 3650-209 Vila Nova de Paiva</t>
  </si>
  <si>
    <t>https://escola-de-conducao.pt/escola-de-conducao-paivense-307030.html; https://www.facebook.com/Escola-de-Condu%C3%A7%C3%A3o-Paivense-110115417364490/; https://www.andardemoto.pt/escolas-de-conducao/dir/d/viseu/c/vila-nova-de-paiva/p-2847/paivense/; https://www.autonews.pt/escolas-de-conducao/dir/d/viseu/c/vila-nova-de-paiva/p-2847/paivense/</t>
  </si>
  <si>
    <t>Almeida</t>
  </si>
  <si>
    <t>Vilar Formoso</t>
  </si>
  <si>
    <t>Escola de Condução Américo e Pires</t>
  </si>
  <si>
    <t>271512985</t>
  </si>
  <si>
    <t>Provável grupo com a Figueirense - confirmar</t>
  </si>
  <si>
    <t>Bairro da Bela Vista (Rua Bela Vista), 6355-201 Vilar Formoso</t>
  </si>
  <si>
    <t>https://passaprimeira.xyz/distritos-regioes/guarda/concelhos/almeida/escolas/americo-e-pires-00892/; https://escolasconducao.com/escola/escola-de-conducao-americo-pires-lda; https://www.andardemoto.pt/escolas-de-conducao/dir/d/guarda/c/almeida/p-2438/escola-de-conducao-americo-e-pires/</t>
  </si>
  <si>
    <t>Pinhel</t>
  </si>
  <si>
    <t>Escola de Condução G. Gomes - Pinhel</t>
  </si>
  <si>
    <t>271412256</t>
  </si>
  <si>
    <t>Seg-Sex 09:00-20:00; Sábado encerrado</t>
  </si>
  <si>
    <t>Rua Conde Ferreira, 11, 6400-370 Pinhel</t>
  </si>
  <si>
    <t>https://escola-de-conducao.pt/escola-de-conducao-g-gomes-pinhel-305812.html; https://passaprimeira.xyz/distritos-regioes/guarda/concelhos/pinhel/escolas/g-gomes-pinhel-00476/</t>
  </si>
  <si>
    <t>Escola de Condução Via Dinâmica</t>
  </si>
  <si>
    <t>962 461 768</t>
  </si>
  <si>
    <t>https://www.facebook.com/EscolaConducaoViaDinamica/</t>
  </si>
  <si>
    <t>Telefone/presencial ("ligaram-me a combinar aulas e a marcar" - review Google)</t>
  </si>
  <si>
    <t>2ª-6ª 9h30-12h30 / 14h-20h; Sábado 9h30-12h30 (ABERTO sábado)</t>
  </si>
  <si>
    <t>Escola familiar muito ativa (141 reviews 5.0, protocolo com IPLeiria); marcação ainda por telefone; 312 exames 2021 - aberta a diferenciação</t>
  </si>
  <si>
    <t>Av. Dr. Francisco Sá Carneiro, Ed. Alta Vista, Loja 448 - 2415-376 Leiria</t>
  </si>
  <si>
    <t>https://passaprimeira.xyz/distritos-regioes/leiria/concelhos/leiria/escolas/via-dinamica-01337/; https://escola-de-conducao.pt/escola-de-conducao-via-dinamica-305868.html; https://www.ipleiria.pt/protocol/via-dinamica-escola-de-conducao/</t>
  </si>
  <si>
    <t>Escola de Condução de Pombal</t>
  </si>
  <si>
    <t>236 212 172</t>
  </si>
  <si>
    <t>yes (+351 910 717 799, widget no site)</t>
  </si>
  <si>
    <t>secretaria@ecpombal.pt</t>
  </si>
  <si>
    <t>https://www.ecpombal.pt/site/</t>
  </si>
  <si>
    <t>https://www.facebook.com/PombalEC/</t>
  </si>
  <si>
    <t>https://www.instagram.com/ecpombal/</t>
  </si>
  <si>
    <t>Google: 2ª-6ª 9h-12h30 / 14h-19h; Sábado 9h-13h (ABERTO sábado); aulas práticas 2ª-6ª 8h-19h e sábados de manhã</t>
  </si>
  <si>
    <t>Presença digital moderna (Instagram, TikTok, WhatsApp, e-learning) - aberta a tecnologia; 304 exames 2021, ~84% aprovação</t>
  </si>
  <si>
    <t>Site WordPress/Elementor com widget WhatsApp; ensino à distância via plataforma das Edições Segurança Rodoviária (e-learning de código, não marcação)</t>
  </si>
  <si>
    <t>Rua José Santos Alves, 15 r/c Esq. - 3100-480 Pombal (IMT: n.º 10 - 1.º)</t>
  </si>
  <si>
    <t>https://passaprimeira.xyz/distritos-regioes/leiria/concelhos/pombal/escolas/pombal-00441/; https://www.ecpombal.pt/site/; https://escola-de-conducao.pt/escola-de-conducao-de-pombal-lda-306648.html</t>
  </si>
  <si>
    <t>Escola de Condução Nova Torres</t>
  </si>
  <si>
    <t>249 826 235</t>
  </si>
  <si>
    <t>http://www.novatorres.pt/ (domínio inativo)</t>
  </si>
  <si>
    <t>https://www.instagram.com/novatorres22/</t>
  </si>
  <si>
    <t>Volume elevado (393 exames 2021), Instagram ativo, website em baixo - sem plataforma própria.</t>
  </si>
  <si>
    <t>Rua da Escola Preparatória/Secundária, 51 R/C Esq., 2350 Torres Novas</t>
  </si>
  <si>
    <t>https://escola-de-conducao.pt/escola-de-conducao-nova-torres-306726.html; https://www.instagram.com/novatorres22/; https://www.sipe.pt/protocolos/escola-de-conducao-nova-torres-torres-novas; https://www.andardemoto.pt/escolas-de-conducao/dir/d/santarem/c/torres-novas/p-3298/nova-torres/; https://www.imt-ip.pt/wp-content/uploads/2025/01/EscolasdeConducao-2021.pdf</t>
  </si>
  <si>
    <t>Escola de Condução Samorense</t>
  </si>
  <si>
    <t>263 652 524</t>
  </si>
  <si>
    <t>https://www.facebook.com/escolaconducaosamorense/</t>
  </si>
  <si>
    <t>Volume médio (389 provas em 2021); Facebook com 682 seguidores; sem website nem app própria</t>
  </si>
  <si>
    <t>Av. do Século 166, 2135-231 Samora Correia (morada anterior: Bairro N.ª Sr.ª da Oliveira, Lote 1)</t>
  </si>
  <si>
    <t>https://www.bomcondutor.pt/escolas/escola/samorense; https://nossatelha.pt/escola-de-condu-o-samorense-419748548983811796/; https://escolasdeconducao.com/escola-de-conducao-samorense; https://www.facebook.com/escolaconducaosamorense/; https://www.imt-ip.pt/wp-content/uploads/2025/01/EscolasdeConducao-2021.pdf</t>
  </si>
  <si>
    <t>Escola de Condução Albertino</t>
  </si>
  <si>
    <t>239 823 161; 239 832 351</t>
  </si>
  <si>
    <t>www.ec-albertino.com.pt (devolve 404)</t>
  </si>
  <si>
    <t>Volume elevado (507 provas 2021) sem site ativo nem app</t>
  </si>
  <si>
    <t>Website em baixo (404)</t>
  </si>
  <si>
    <t>Praça da República, 17, 1º, 3000-343 Coimbra</t>
  </si>
  <si>
    <t>https://escola-de-conducao.pt/escola-de-conducao-albertino-305922.html; https://www.andardemoto.pt/escolas-de-conducao/dir/d/coimbra/c/coimbra/p-2081/albertino/; https://www.imt-ip.pt/wp-content/uploads/2025/01/EscolasdeConducao-2021.pdf</t>
  </si>
  <si>
    <t>Escola de Condução Arganilense</t>
  </si>
  <si>
    <t>235 202 318</t>
  </si>
  <si>
    <t>965 888 086; 967 130 274</t>
  </si>
  <si>
    <t>https://www.facebook.com/escoladeconducao.arganilense</t>
  </si>
  <si>
    <t>Volume elevado para o interior (495 provas 2021) sem site/app</t>
  </si>
  <si>
    <t>Av. das Forças Armadas, 3300-011 Arganil</t>
  </si>
  <si>
    <t>https://www.bomcondutor.pt/escolas/escola/arganilense; https://www.andardemoto.pt/escolas-de-conducao/dir/d/coimbra/c/arganil/p-2447/escola-de-conducao-arganilense/; https://escola-de-conducao.pt/escola-de-conducao-arganilense-paulino-irmao-lda-306441.html; https://www.imt-ip.pt/wp-content/uploads/2025/01/EscolasdeConducao-2021.pdf</t>
  </si>
  <si>
    <t>Penela</t>
  </si>
  <si>
    <t>Escola de Condução Penelense</t>
  </si>
  <si>
    <t>239 569 238; 239 561 845</t>
  </si>
  <si>
    <t>http://escpenela.blogspot.pt/ (blog parado desde 2013)</t>
  </si>
  <si>
    <t>Seg encerrado; Ter-Sex 08:00-17:00; Sábado 08:00-18:00 (aberto ao sábado, dia de aulas)</t>
  </si>
  <si>
    <t>Volume elevado para concelho pequeno (502 provas 2021); em 2012 anunciava 'duas escolas da rede' (Penela e Mira); presença digital desatualizada</t>
  </si>
  <si>
    <t>Apenas blog antigo</t>
  </si>
  <si>
    <t>Av. Fonte Nova, 16, 3230-255 Penela (antes Bairro de São Jorge)</t>
  </si>
  <si>
    <t>https://escola-de-conducao.pt/escola-de-conducao-penelense-lda-306796.html; https://escpenela.blogspot.com/; https://www.andardemoto.pt/escolas-de-conducao/dir/d/coimbra/c/penela/p-2921/escola-de-conducao-penelense/; https://www.imt-ip.pt/wp-content/uploads/2025/01/EscolasdeConducao-2021.pdf</t>
  </si>
  <si>
    <t>Escola de Condução 100% Malaposta</t>
  </si>
  <si>
    <t>917 818 974</t>
  </si>
  <si>
    <t>https://www.facebook.com/econducao100porcento/</t>
  </si>
  <si>
    <t>Seg 14:30–20:00 Ter 14:30–20:00 Qua 14:30–20:00 Qui 14:30–20:00 Sex 14:30–20:00 SÁB 12:00–13:00 14:30–17:00 Dom Encerrado — aberto sábado de manhã</t>
  </si>
  <si>
    <t>"escola muito fraca e desorganizada, não recomendo a minha namorada anda desde Agosto de 2023 ate agora para tirar a carta" (1★, 27/01/2024) https://escola-de-conducao.pt/escola-de-conducao-100-malaposta-306437.html</t>
  </si>
  <si>
    <t>Sinal de dor (desorganização), mas estado atual e relação com a Red Line Malaposta (mesma localidade) não confirmados; não consta dos dados IMT 2019-21</t>
  </si>
  <si>
    <t>R. São José de Cluny 59A, 3780-294 Anadia</t>
  </si>
  <si>
    <t>https://escola-de-conducao.pt/escola-de-conducao-100-malaposta-306437.html; https://www.facebook.com/econducao100porcento/</t>
  </si>
  <si>
    <t>Escola de Condução Luciano T. Ribeiro Ferreira</t>
  </si>
  <si>
    <t>Possível grupo Ribeiro Ferreira (Senhora dos Remédios, Lamego) - por confirmar</t>
  </si>
  <si>
    <t>Sem contactos nem presença digital e sem empresa no Racius para Armamar; pode estar inativa ou ser delegação da Senhora dos Remédios</t>
  </si>
  <si>
    <t>Praceta Dr. Sá Carneiro, 33, 5110-128 Armamar</t>
  </si>
  <si>
    <t>https://www.andardemoto.pt/escolas-de-conducao/dir/d/viseu/c/armamar/p-3234/luciano-t-ribeiro-ferreira/</t>
  </si>
  <si>
    <t>Tarouca</t>
  </si>
  <si>
    <t>Dalvares</t>
  </si>
  <si>
    <t>Escola de Condução M.G. (Tarouca MG)</t>
  </si>
  <si>
    <t>https://www.facebook.com/taroucaecmg/</t>
  </si>
  <si>
    <t>5/5 (escola-de-conducao.pt, proxy)</t>
  </si>
  <si>
    <t>Delegação do grupo AFMG (mesmo telefone e slogan da EC Lamego); FB com 652 seguidores</t>
  </si>
  <si>
    <t>Variante Este, Dalvares, Tarouca</t>
  </si>
  <si>
    <t>https://www.facebook.com/taroucaecmg/; https://escola-de-conducao.pt/escola-conducao-tarouca-mg-306517.html; https://www.facebook.com/people/Afmg-Escolas-DE-Condu%C3%A7%C3%A3o/100077324387281/</t>
  </si>
  <si>
    <t>Escola de Condução Mouranense</t>
  </si>
  <si>
    <t>Lopes de Almeida (Lamego/Tarouca; provável Egas Moniz em Britiande)</t>
  </si>
  <si>
    <t>254677535</t>
  </si>
  <si>
    <t>Parte do grupo Lopes de Almeida (telefone partilhado com a sede em Lamego); sem presença digital encontrada</t>
  </si>
  <si>
    <t>Urbanização Carvalhos, Edifício Carvalhos r/c, 3610-103 Tarouca</t>
  </si>
  <si>
    <t>https://www.andardemoto.pt/escolas-de-conducao/dir/d/viseu/c/tarouca/p-2626/mouranense/; https://www.racius.com/lopes-de-almeida-escolas-de-conducao-lda/</t>
  </si>
  <si>
    <t>Vila da Rua</t>
  </si>
  <si>
    <t>Escola de Condução Terras do Demo</t>
  </si>
  <si>
    <t>Provável Escolas Reis (mesmo telefone 254529005) - por confirmar</t>
  </si>
  <si>
    <t>Parece ser um polo do grupo Escolas Reis (telefone partilhado); confirmar se ainda funciona</t>
  </si>
  <si>
    <t>Vila da Rua, 3620-461 Moimenta da Beira</t>
  </si>
  <si>
    <t>https://www.bomcondutor.pt/escolas/escola/terras-do-demo</t>
  </si>
  <si>
    <t>Lopes de Almeida - Escolas de Condução Lda</t>
  </si>
  <si>
    <t>Lopes de Almeida (Mouranense em Tarouca; provável Egas Moniz em Britiande)</t>
  </si>
  <si>
    <t>Entidade de grupo multi-site (mesmo telefone da Mouranense em Tarouca); pode ser apenas a sede - confirmar se há balcão em Lamego</t>
  </si>
  <si>
    <t>Rua da Corredoura, nº59, 5100-344 Lamego</t>
  </si>
  <si>
    <t>https://www.racius.com/lopes-de-almeida-escolas-de-conducao-lda/; https://www.andardemoto.pt/escolas-de-conducao/dir/d/viseu/c/tarouca/p-2626/mouranense/</t>
  </si>
  <si>
    <t>Lousã</t>
  </si>
  <si>
    <t>Escola de Condução Louzan</t>
  </si>
  <si>
    <t>239 095 508</t>
  </si>
  <si>
    <t>Seg-Sex 10:00-12:30 / 14:00-20:00; Sábado 09:00-13:00 (aberto ao sábado)</t>
  </si>
  <si>
    <t>'Aulas de condução constantemente desmarcadas' (ago/2025, https://portaldaqueixa.com/brands/escola-de-conducao-louzan — 5 queixas, 0% resposta); 'Falta de organização, mas muita' (https://escola-de-conducao.pt/escola-de-conducao-louzan-306489.html); 'Situações que se arrastam há meses e não resolvem' (idem)</t>
  </si>
  <si>
    <t>Dor explícita e recente com desmarcação de aulas e desorganização; volume médio (361 provas 2021)</t>
  </si>
  <si>
    <t>Rua de Coimbra, 6, 3200-222 Lousã</t>
  </si>
  <si>
    <t>https://escola-de-conducao.pt/escola-de-conducao-louzan-306489.html; https://portaldaqueixa.com/brands/escola-de-conducao-louzan; https://www.imt-ip.pt/wp-content/uploads/2025/01/EscolasdeConducao-2021.pdf</t>
  </si>
  <si>
    <t>Condeixa-a-Nova</t>
  </si>
  <si>
    <t>Escola de Condução de Condeixa</t>
  </si>
  <si>
    <t>239 941 253</t>
  </si>
  <si>
    <t>933 522 943</t>
  </si>
  <si>
    <t>Seg-Sex 10:00-12:30 / 15:00-19:00; Sábado 09:00-13:00 (aberto ao sábado)</t>
  </si>
  <si>
    <t>Volume médio-alto (481 provas 2021) sem site/app; listada também como 'Rainha Santa' na mesma morada (possível ligação à Rainha Santa de Coimbra)</t>
  </si>
  <si>
    <t>Praça da República, 14, 3150-127 Condeixa-a-Nova</t>
  </si>
  <si>
    <t>https://escola-de-conducao.pt/escola-de-conducao-de-condeixa-305935.html; https://www.andardemoto.pt/escolas-de-conducao/dir/d/coimbra/c/condeixa-a-nova/p-2957/escola-de-conducao-rainha-santa/; https://www.imt-ip.pt/wp-content/uploads/2025/01/EscolasdeConducao-2021.pdf</t>
  </si>
  <si>
    <t>Escola de Condução Riomaiorense (J. Ascenso, Lda)</t>
  </si>
  <si>
    <t>243 996 365</t>
  </si>
  <si>
    <t>963 652 977</t>
  </si>
  <si>
    <t>ecriomaiorense@gmail.com</t>
  </si>
  <si>
    <t>https://ecriomaiorense.pt/</t>
  </si>
  <si>
    <t>https://www.facebook.com/people/Escola-de-Condu%C3%A7%C3%A3o-Riomaiorense/100063557081445/</t>
  </si>
  <si>
    <t>Seg-Sex 10:00-13:00 e 15:00-20:00; Sábado 10:00-12:30 (ABERTO SÁBADO)</t>
  </si>
  <si>
    <t>A1, A2, A, B, C, CE</t>
  </si>
  <si>
    <t>Escola histórica (desde 1959) de volume médio, site renovado em 2025 mas sem ferramentas digitais para alunos; sem sinais de dor encontrados</t>
  </si>
  <si>
    <t>Site WordPress (2025) só institucional — sem área do aluno, e-learning ou link a plataforma</t>
  </si>
  <si>
    <t>Rua Ernesto Alves 23, 1º, 2040-411 Rio Maior</t>
  </si>
  <si>
    <t>https://ecriomaiorense.pt/; https://ecriomaiorense.pt/contactos/; https://www.testesdecodigogratis.com/escola-de-conducao/riomaiorense/; https://escolasconducao.com/escola/j-ascenso-lda; https://www.imt-ip.pt/wp-content/uploads/2025/01/EscolasdeConducao-2021.pdf</t>
  </si>
  <si>
    <t>Escola de Condução Aurora</t>
  </si>
  <si>
    <t>239 401 204</t>
  </si>
  <si>
    <t>https://www.facebook.com/escoladeconducaoaurora/</t>
  </si>
  <si>
    <t>Seg-Sex 09:00-13:00 / 14:00-19:00; Sábado 09:00-13:00 (aberto ao sábado)</t>
  </si>
  <si>
    <t>Queixa mai/2026 'Falta de mediação da escola de condução após reclamação do aluno' (https://portaldaqueixa.com/brands/escola-de-conducao-aurora)</t>
  </si>
  <si>
    <t>Volume médio (336 provas 2021), sem site; sinais de dor fracos</t>
  </si>
  <si>
    <t>Rua Capitão Luís Gonzaga, 31-A, Loja E, 3000-095 Coimbra</t>
  </si>
  <si>
    <t>https://escola-de-conducao.pt/escola-de-conducao-aurora-305920.html; https://www.bomcondutor.pt/escolas/escola/aurora; https://portaldaqueixa.com/brands/escola-de-conducao-aurora; https://www.imt-ip.pt/wp-content/uploads/2025/01/EscolasdeConducao-2021.pdf</t>
  </si>
  <si>
    <t>Buarcos</t>
  </si>
  <si>
    <t>Escola de Condução Praia da Claridade</t>
  </si>
  <si>
    <t>233 434 263</t>
  </si>
  <si>
    <t>969 164 764</t>
  </si>
  <si>
    <t>ecpc@iol.pt</t>
  </si>
  <si>
    <t>https://www.facebook.com/Escola-de-Condu%C3%A7%C3%A3o-Praia-da-Claridade-168940056534288/</t>
  </si>
  <si>
    <t>Seg-Sex 10:00-13:00 / 15:00-20:00; Sábado 10:00-13:00 (aberto ao sábado)</t>
  </si>
  <si>
    <t>Volume elevado (454 provas 2021) sem site/app</t>
  </si>
  <si>
    <t>Largo Caras Direitas, 51, Bloco H, 3080-254 Buarcos, Figueira da Foz</t>
  </si>
  <si>
    <t>https://escola-de-conducao.pt/escola-de-conducao-praia-da-claridade-lda-306203.html; https://www.bomcondutor.pt/escolas/escola/praia-claridade; https://www.imt-ip.pt/wp-content/uploads/2025/01/EscolasdeConducao-2021.pdf</t>
  </si>
  <si>
    <t>Escola de Condução Ajar</t>
  </si>
  <si>
    <t>239 991 430</t>
  </si>
  <si>
    <t>925 479 580</t>
  </si>
  <si>
    <t>esc.cond.ajar@gmail.com</t>
  </si>
  <si>
    <t>www.escoladeconducaoajar.tk (inativo)</t>
  </si>
  <si>
    <t>https://www.facebook.com/AJARescoladeconducao/</t>
  </si>
  <si>
    <t>Seg-Sex 09:00-19:00; Sábado 09:00-12:00 (aberto ao sábado)</t>
  </si>
  <si>
    <t>'A senhora que estava na secretaria é bastante antipática' (2022, https://escola-de-conducao.pt/escola-de-conducao-ajar-306614.html)</t>
  </si>
  <si>
    <t>Volume médio (309 provas 2021), sinais de dor fracos (atendimento)</t>
  </si>
  <si>
    <t>Site .tk inativo</t>
  </si>
  <si>
    <t>Av. São Silvestre, 31-C/D, 1º Frente, 3200-203 Lousã</t>
  </si>
  <si>
    <t>https://escola-de-conducao.pt/escola-de-conducao-ajar-306614.html; https://www.andardemoto.pt/escolas-de-conducao/dir/d/coimbra/c/lousa/p-2169/automovel-ajar/; https://www.imt-ip.pt/wp-content/uploads/2025/01/EscolasdeConducao-2021.pdf</t>
  </si>
  <si>
    <t>Albergaria-a-Velha</t>
  </si>
  <si>
    <t>Escola de Condução Vouga</t>
  </si>
  <si>
    <t>234 525 874</t>
  </si>
  <si>
    <t>"Escola péssima para tirar carta de condução!" (Google, 1★, 07/2022) https://escola-de-conducao.pt/escola-de-conducao-vouga-306452.html</t>
  </si>
  <si>
    <t>Escola média (134 exames 2021), sem presença digital relevante; queixa genérica isolada</t>
  </si>
  <si>
    <t>Rua Marquês de Pombal, Edifício Sol Mar, Nº 3 r/c, 3850-115 Albergaria-a-Velha</t>
  </si>
  <si>
    <t>https://passaprimeira.xyz/en/districts-regions/aveiro/municipalities/albergaria-a-velha/schools/; https://www.andardemoto.pt/escolas-de-conducao/dir/d/aveiro/c/albergaria-a-velha/p-3102/escola-de-conducao-vouga/; https://escola-de-conducao.pt/escola-de-conducao-vouga-306452.html; https://transitoagora.pt/escolas-conducao/aveiro</t>
  </si>
  <si>
    <t>Escola de Condução Triunfo - Fundão</t>
  </si>
  <si>
    <t>275753910</t>
  </si>
  <si>
    <t>Seg-Sex 09:00-20:00 (Ter/Qui até 21:00); Sábado 09:00-13:00 (aberto)</t>
  </si>
  <si>
    <t>"Mal atendimento!" (Google, 12/2023) https://escola-de-conducao.pt/escola-de-conducao-triunfo-306615.html</t>
  </si>
  <si>
    <t>Maior escola do distrito de Castelo Branco (510 exames 2021), sem site/app próprios encontrados</t>
  </si>
  <si>
    <t>Loteamento da Boavista, Lote 23 R/C Dto, 6230-492 Fundão</t>
  </si>
  <si>
    <t>https://escola-de-conducao.pt/escola-de-conducao-triunfo-306615.html; https://passaprimeira.xyz/distritos-regioes/castelo-branco/concelhos/fundao/escolas/triunfo-fundao-00592/; https://www.andardemoto.pt/escolas-de-conducao/dir/d/castelo-branco/c/fundao/p-3483/triunfo-fundao/</t>
  </si>
  <si>
    <t>Soure</t>
  </si>
  <si>
    <t>Escola de Condução de Soure (JME)</t>
  </si>
  <si>
    <t>239 502 241</t>
  </si>
  <si>
    <t>e.c.soure@gmail.com</t>
  </si>
  <si>
    <t>Seg-Sex 09:00-19:00; Sábado 09:00-14:00 (aberto ao sábado)</t>
  </si>
  <si>
    <t>Volume médio (346 provas 2021), boa reputação, sem sinais de dor</t>
  </si>
  <si>
    <t>Rua Combatentes da Grande Guerra, 23-25, 3130-221 Soure</t>
  </si>
  <si>
    <t>https://escola-de-conducao.pt/escola-de-conducao-soure-jme-231574.html; https://www.andardemoto.pt/escolas-de-conducao/dir/d/coimbra/c/soure/p-3213/escola-de-conducao-de-soure/; https://www.imt-ip.pt/wp-content/uploads/2025/01/EscolasdeConducao-2021.pdf</t>
  </si>
  <si>
    <t>Esgueira</t>
  </si>
  <si>
    <t>Escola de Condução Águia de Aveiro</t>
  </si>
  <si>
    <t>234 313 170; 234 306 644</t>
  </si>
  <si>
    <t>escolaaguiaaveiro@sapo.pt</t>
  </si>
  <si>
    <t>https://www.facebook.com/aguiadeaveiro/</t>
  </si>
  <si>
    <t>Seg-Sex 10:00-12:30 e 15:00-20:00; Sábado 10:00-12:00 (aberto ao sábado de manhã)</t>
  </si>
  <si>
    <t>"Instrutora... utiliza fones de ouvido a meio de aulas"; "Não são de confiança" (02/2024) https://escola-de-conducao.pt/escola-de-conducao-aguia-de-aveiro-lda-306700.html</t>
  </si>
  <si>
    <t>Escola pequena; queixas sobre instrução, não sobre marcação/comunicação</t>
  </si>
  <si>
    <t>Rua Nossa Senhora das Necessidades, 4-5, Esgueira, 3800-317 Aveiro</t>
  </si>
  <si>
    <t>https://www.bomcondutor.pt/escolas/escola/aguia-de-aveiro; https://escola-de-conducao.pt/escola-de-conducao-aguia-de-aveiro-lda-306700.html (rating Google via snapshot escola-de-conducao.pt); https://www.andardemoto.pt/escolas-de-conducao/dir/d/aveiro/c/aveiro/p-2078/aguia-de-aveiro/; https://passaprimeira.xyz/en/districts-regions/aveiro/municipalities/aveiro/schools/</t>
  </si>
  <si>
    <t>Arazede</t>
  </si>
  <si>
    <t>Escola de Condução Sobre Rodas</t>
  </si>
  <si>
    <t>Volume médio (317 provas 2021); contactos não encontrados</t>
  </si>
  <si>
    <t>Volta da Tocha, 3140-045 Arazede</t>
  </si>
  <si>
    <t>https://portalnacional.com.pt/coimbra/empresas/ensino/escolas-de-conducao/4/; https://www.imt-ip.pt/wp-content/uploads/2025/01/EscolasdeConducao-2021.pdf</t>
  </si>
  <si>
    <t>Tocha</t>
  </si>
  <si>
    <t>Escola de Condução Zita</t>
  </si>
  <si>
    <t>231 442 880</t>
  </si>
  <si>
    <t>Volume médio (326 provas 2021), sem presença digital; empresa Dorylina Lda.</t>
  </si>
  <si>
    <t>Estrada de Arazede, 308, R/C Esq., 3060-712 Tocha</t>
  </si>
  <si>
    <t>https://www.andardemoto.pt/escolas-de-conducao/dir/d/coimbra/c/cantanhede/p-3108/escola-de-conducao-zita/; https://portalnacional.com.pt/coimbra/empresas/ensino/escolas-de-conducao/; https://www.imt-ip.pt/wp-content/uploads/2025/01/EscolasdeConducao-2021.pdf</t>
  </si>
  <si>
    <t>Granja do Ulmeiro</t>
  </si>
  <si>
    <t>Escola de Condução Granja do Ulmeiro</t>
  </si>
  <si>
    <t>239 642 322</t>
  </si>
  <si>
    <t>Volume médio (301 provas 2021), sem presença digital</t>
  </si>
  <si>
    <t>Rua do Comércio, 5, 3130-080 Granja do Ulmeiro</t>
  </si>
  <si>
    <t>https://www.andardemoto.pt/escolas-de-conducao/dir/d/coimbra/c/soure/p-2721/escola-de-conducao-granja-do-ulmeiro/; https://www.imt-ip.pt/wp-content/uploads/2025/01/EscolasdeConducao-2021.pdf</t>
  </si>
  <si>
    <t>Escola de Condução Albicastrense (J. Carvalho &amp; Filhos, Lda)</t>
  </si>
  <si>
    <t>272342056</t>
  </si>
  <si>
    <t>961696080</t>
  </si>
  <si>
    <t>c.albicastrense@gmail.com; escola.albicastrense@hotmail.com</t>
  </si>
  <si>
    <t>https://www.facebook.com/pages/Escola-de-Condução-Albicastrense/193776200678544</t>
  </si>
  <si>
    <t>Seg-Sex 10:00-12:00, 14:00-19:00/20:00; Sábado encerrado</t>
  </si>
  <si>
    <t>"Péssimo não tem compromisso com horário, não recomendo" (Google, 08/2022) https://escola-de-conducao.pt/escola-de-conducao-albicastrense-306407.html; "Levam muito tempo entre as lições" (Google, 10/2020) https://escola-de-conducao.pt/escola-de-conducao-albicastrense-306407.html</t>
  </si>
  <si>
    <t>Sinais de dor: queixas de horários/espaçamento entre aulas</t>
  </si>
  <si>
    <t>Site Wix (ec-albicastrense.wix.com/site) devolve 404</t>
  </si>
  <si>
    <t>Rua de São Miguel, 7 - 1º B, 6000-181 Castelo Branco</t>
  </si>
  <si>
    <t>https://escola-de-conducao.pt/escola-de-conducao-albicastrense-306407.html; https://passaprimeira.xyz/distritos-regioes/castelo-branco/concelhos/castelo-branco/escolas/albicastrense-00101/; https://www.andardemoto.pt/escolas-de-conducao/dir/d/castelo-branco/c/castelo-branco/p-2888/albicastrense/; https://escolasconducao.com/escola/j-carvalho-filhos-lda; https://www.testesdecodigogratis.com/escola-de-conducao/albicastrense/</t>
  </si>
  <si>
    <t>Escola de Condução Auto Beira Côa</t>
  </si>
  <si>
    <t>271412428</t>
  </si>
  <si>
    <t>919552320</t>
  </si>
  <si>
    <t>autobeiracoa@gmail.com</t>
  </si>
  <si>
    <t>http://escolaconducaoautobeiracoa.com/ (domínio já não resolve)</t>
  </si>
  <si>
    <t>Maior escola do distrito da Guarda (531 exames 2021) sem app/site ativo</t>
  </si>
  <si>
    <t>Site antigo inacessível</t>
  </si>
  <si>
    <t>Av. Carneiro de Gusmão, 103 - R/C Esq, 6400-337 Pinhel</t>
  </si>
  <si>
    <t>https://passaprimeira.xyz/distritos-regioes/guarda/concelhos/pinhel/escolas/auto-beira-coa-00582/; https://www.andardemoto.pt/escolas-de-conducao/dir/d/guarda/c/pinhel/p-2132/auto-beira-coa/; https://escola-de-conducao.pt/escola-de-conducao-auto-beira-coa-pinhel-306232.html; https://transitoagora.pt/escolas-conducao</t>
  </si>
  <si>
    <t>Escola de Condução Grão Vasco</t>
  </si>
  <si>
    <t>232422222</t>
  </si>
  <si>
    <t>968959555</t>
  </si>
  <si>
    <t>geral@ecgraovasco.pt</t>
  </si>
  <si>
    <t>https://ecgraovasco.pt</t>
  </si>
  <si>
    <t>https://www.facebook.com/ecgraovasco</t>
  </si>
  <si>
    <t>https://www.instagram.com/ec_graovasco/</t>
  </si>
  <si>
    <t>Nenhum visível (site institucional sem área do aluno/app)</t>
  </si>
  <si>
    <t>Telefone/email/formulário de contacto; sem marcação online visível</t>
  </si>
  <si>
    <t>Seg-Sex 10h-12h, 14h-19h; Sáb 10h-12h</t>
  </si>
  <si>
    <t>A1, B (citadas em avaliações); motociclos</t>
  </si>
  <si>
    <t>Avaliação 1/5 (26/09/2019): 'Instrução péssima e funcionários mal criados' (isolada; restantes muito positivas) - https://escola-de-conducao.pt/escola-de-conducao-grao-vasco-lda-257924.html</t>
  </si>
  <si>
    <t>Escola histórica (alvará nº 105, 1957); 382 provas 2021 (linha IMT nº 105, perto do limiar); sem app de aluno; presença social ativa (IG 817 posts, FB 1023 seguidores). NÃO pertence ao grupo Viseense (a ligação Viseense é com Viriato).</t>
  </si>
  <si>
    <t>https://ecgraovasco.pt/home/</t>
  </si>
  <si>
    <t>Av. Capitão Silva Pereira, nº 65/67, 3500-209 Viseu</t>
  </si>
  <si>
    <t>https://ecgraovasco.pt/contactos/; https://ecgraovasco.pt/home/; https://escola-de-conducao.pt/escola-de-conducao-grao-vasco-lda-257924.html; https://www.facebook.com/ecgraovasco/; https://www.instagram.com/ec_graovasco/</t>
  </si>
  <si>
    <t>Escola de Condução A Nova de Estarreja</t>
  </si>
  <si>
    <t>234 841 724; 234 844 778</t>
  </si>
  <si>
    <t>964 770 633</t>
  </si>
  <si>
    <t>ecnovaestarreja@sapo.pt</t>
  </si>
  <si>
    <t>https://anovadeestarreja.pt/</t>
  </si>
  <si>
    <t>https://www.facebook.com/profile.php?id=100063504193045</t>
  </si>
  <si>
    <t>https://www.instagram.com/a_nova_de_estarreja_/</t>
  </si>
  <si>
    <t>Pré-inscrição online; contacto por telefone/WhatsApp (marcação de aulas online não indicada)</t>
  </si>
  <si>
    <t>A1, A2, A, B, B+E, C, C+E, T3</t>
  </si>
  <si>
    <t>Maior escola da zona norte (353 exames 2021, 82% aprovação) com presença digital muito ativa (FB 8.2k seguidores/739 a falar, Instagram, WhatsApp) e sem app de aluno</t>
  </si>
  <si>
    <t>Site WordPress com pré-inscrição e botão WhatsApp (wa.me/351964770633); sem área do aluno nem links AGE/BDrive/ALSIS (verificado 10/2026)</t>
  </si>
  <si>
    <t>Rua Conselheiro José Luciano de Castro, 3860-358 Estarreja</t>
  </si>
  <si>
    <t>https://passaprimeira.xyz/en/districts-regions/aveiro/municipalities/estarreja/schools/; https://anovadeestarreja.pt/; https://www.bomcondutor.pt/escolas/escola/a-nova-de-estarreja; https://www.facebook.com/profile.php?id=100063504193045</t>
  </si>
  <si>
    <t>Covilhã (Penedos Altos)</t>
  </si>
  <si>
    <t>Escola de Condução Pêro da Covilhã (Pacense, Lda)</t>
  </si>
  <si>
    <t>925158441</t>
  </si>
  <si>
    <t>https://www.facebook.com/ecperocovilha/</t>
  </si>
  <si>
    <t>https://www.instagram.com/perodacovilha/</t>
  </si>
  <si>
    <t>Maior escola da Covilhã (465 exames 2021), Instagram ativo, protocolos com AAUBI/CHCB (público universitário)</t>
  </si>
  <si>
    <t>Sem site próprio encontrado</t>
  </si>
  <si>
    <t>Rua Dr. José Mendes de Matos, Lote 10, Fracção A, Penedos Altos, 6200-559 Covilhã</t>
  </si>
  <si>
    <t>https://passaprimeira.xyz/distritos-regioes/castelo-branco/concelhos/covilha/escolas/pero-da-covilha-00308/; https://www.testesdecodigogratis.com/escola-de-conducao/pero-da-covilha/; https://www.instagram.com/perodacovilha/; http://casadopessoalchcb.blogspot.com/2014/12/protocolo-com-escola-de-conducao-pero.html; https://aaubi.org/parcerias/; https://escolasconducao.com/escola/escola-de-conducao-pacense-lda</t>
  </si>
  <si>
    <t>Escola de Condução Nova Técnica</t>
  </si>
  <si>
    <t>272327310</t>
  </si>
  <si>
    <t>novatecnicacb@gmail.com</t>
  </si>
  <si>
    <t>https://sites.google.com/view/novatecnica/inicio</t>
  </si>
  <si>
    <t>https://www.facebook.com/escola.novatecnica</t>
  </si>
  <si>
    <t>Seg-Sex 09:30-19:00 (Qua até 19:30); Sábado 09:30-12:00 (aberto ao sábado)</t>
  </si>
  <si>
    <t>AM, A, B, C, D, CAM, ADR, TVDE, tratores (pelas secções de testes do site)</t>
  </si>
  <si>
    <t>2.º maior volume do distrito (438 exames 2021) sem app de aluno</t>
  </si>
  <si>
    <t>Site Google Sites com testes/material próprios; sem área do aluno/marcação online</t>
  </si>
  <si>
    <t>Rua Afonso de Paiva, 33 - Cave, 6000-076 Castelo Branco</t>
  </si>
  <si>
    <t>https://escola-de-conducao.pt/escola-de-conducao-nova-tecnica-305905.html; https://passaprimeira.xyz/distritos-regioes/castelo-branco/concelhos/castelo-branco/escolas/nova-tecnica-00743/; https://escolasconducao.com/escola/escola-de-conducao-nova-tecnica-lda; https://www.testesdecodigogratis.com/escola-de-conducao/nova-tecnica/; https://sites.google.com/view/novatecnica/inicio</t>
  </si>
  <si>
    <t>Escola de Condução Saber Mais (Cristina Marinho, Lda)</t>
  </si>
  <si>
    <t>275331803</t>
  </si>
  <si>
    <t>967559396</t>
  </si>
  <si>
    <t>ecsabermais@gmail.com</t>
  </si>
  <si>
    <t>https://www.facebook.com/p/Escola-de-Condu%C3%A7%C3%A3o-Saber-Mais-100068360262573/</t>
  </si>
  <si>
    <t>Marcação de aulas práticas semanal com a secretaria, conforme horário do aluno (segundo avaliações)</t>
  </si>
  <si>
    <t>Seg-Sex 09:00-20:00; Sábado 09:00-13:00 (aberto)</t>
  </si>
  <si>
    <t>A, B (ligeiros e motociclos)</t>
  </si>
  <si>
    <t>"também são muito desorganizados na marcação das aulas" (Google, 04/2023) https://escola-de-conducao.pt/escola-de-conducao-sabermais-305808.html; "Dificuldade de marcação de aulas, vão de férias o tempo todo" (Google, 12/2021) https://escola-de-conducao.pt/escola-de-conducao-sabermais-305808.html; "avisar aos clientes com antecedência que iriam tirar férias" (Google) https://escola-de-conducao.pt/escola-de-conducao-sabermais-305808.html</t>
  </si>
  <si>
    <t>Dor explícita na marcação de aulas + volume alto (336) + já usa e-learning (aberta a tecnologia)</t>
  </si>
  <si>
    <t>Avaliações referem aulas de código numa 'plataforma online' (e-learning teórico); plataforma não identificada</t>
  </si>
  <si>
    <t>Rua Conde da Ericeira, Nº 21 Subcave, 6200-086 Covilhã</t>
  </si>
  <si>
    <t>https://escola-de-conducao.pt/escola-de-conducao-sabermais-305808.html; https://passaprimeira.xyz/distritos-regioes/castelo-branco/concelhos/covilha/escolas/saber-mais-00980/; https://escolasconducao.com/escola/cristina-marinho-lda; https://www.testesdecodigogratis.com/escola-de-conducao/saber-mais/</t>
  </si>
  <si>
    <t>Escola de Condução Irmãos Tavares</t>
  </si>
  <si>
    <t>232518050</t>
  </si>
  <si>
    <t>933517135</t>
  </si>
  <si>
    <t>esc.cond.irm.tavares@gmail.com; esc.cond.irm_tavares@clix.pt (antigo)</t>
  </si>
  <si>
    <t>http://www.escoladeconducaoirmaostavares.pt (domínio não resolve em out/2026)</t>
  </si>
  <si>
    <t>https://www.facebook.com/escolaconducaoirmaostavares/</t>
  </si>
  <si>
    <t>https://www.instagram.com/escola_irmaos_tavares/</t>
  </si>
  <si>
    <t>4.9 (escola-de-conducao.pt (agregado, não confirmado como Google))</t>
  </si>
  <si>
    <t>Seg-Sex 9h-19h; Sáb 9h-12h30</t>
  </si>
  <si>
    <t>AM; A1; A2; A; B1; B; BE; C1; C; C1E; CE</t>
  </si>
  <si>
    <t>Volume quase 400 provas (393 em 2021) sem app própria; presença em Facebook + Instagram (473 seguidores, 53 publicações) sugere abertura ao digital; site próprio caiu.</t>
  </si>
  <si>
    <t>Rua Egas Moniz, n.º 20 R/C (também indicado n.º 80/82), 3650-219 Vila Nova de Paiva</t>
  </si>
  <si>
    <t>https://escola-de-conducao.pt/escola-conducao-irmaos-tavares-306181.html; https://www.instagram.com/escola_irmaos_tavares/; https://www.facebook.com/escolaconducaoirmaostavares/; https://www.bomcondutor.pt/escolas/escola/irmaos-tavares; https://www.andardemoto.pt/escolas-de-conducao/dir/d/viseu/c/vila-nova-de-paiva/p-2778/escola-de-conducao-irmaos-tavares/; https://www.pai.pt/paginas/450904-escola-de-conducao-irmaos-tavares; https://www.racius.com/escola-de-conducao-irmaos-tavares-lda/</t>
  </si>
  <si>
    <t>Escola de Condução Zig-Zag (Destreza Frenética Unip. Lda.)</t>
  </si>
  <si>
    <t>924001615</t>
  </si>
  <si>
    <t>https://www.facebook.com/p/Escola-de-Condu%C3%A7%C3%A3o-Zig-Zag-100071440818889/</t>
  </si>
  <si>
    <t>Seg-Sex 9h30-12h30, 14h-19h30; Sáb 9h30-12h30</t>
  </si>
  <si>
    <t>Avaliação 1/5 (01/03/2024): 'mandou o aviso da marcação para a consulta médica para outro número de telemóvel que não era o nosso, portanto não comparecemos' - https://escola-de-conducao.pt/escola-de-conducao-zig-zag-305811.html</t>
  </si>
  <si>
    <t>Escola recente (28 provas em 2021, 1º ano) com FB ativo (1486 seguidores) e sinal de dor em comunicação de marcações (2024). Pequena dimensão.</t>
  </si>
  <si>
    <t>Av. D. Afonso Henriques, Qta da Alagoa, lote 178 R/C Esq, 3500-606 Viseu</t>
  </si>
  <si>
    <t>https://escola-de-conducao.pt/escola-de-conducao-zig-zag-305811.html; https://www.facebook.com/p/Escola-de-Condu%C3%A7%C3%A3o-Zig-Zag-100071440818889/</t>
  </si>
  <si>
    <t>Escola de Condução AC - Armando Cruz (Páginas e Manobras, Lda.)</t>
  </si>
  <si>
    <t>232452439</t>
  </si>
  <si>
    <t>967511062</t>
  </si>
  <si>
    <t>escolaac@outlook.pt</t>
  </si>
  <si>
    <t>https://escola-ac.pt (HTTP 500 em 08/10/2026)</t>
  </si>
  <si>
    <t>https://www.facebook.com/p/Escola-de-Condu%C3%A7%C3%A3o-AC-Armando-Cruz-100063803612927/</t>
  </si>
  <si>
    <t>Nenhum visível (site em erro)</t>
  </si>
  <si>
    <t>'Nova Gerência' anunciada no Facebook (2706 seguidores, 17 a falar) - abertura a mudança; volume médio (375 provas 2021); site em baixo.</t>
  </si>
  <si>
    <t>https://escola-ac.pt/ (HTTP 500)</t>
  </si>
  <si>
    <t>Av. Alberto Sampaio, nº 86/88, 3510-027 Viseu (junto ao Rossio)</t>
  </si>
  <si>
    <t>https://escola-de-conducao.pt/escola-de-conducao-ac-armando-cruz-306268.html; https://www.facebook.com/p/Escola-de-Condu%C3%A7%C3%A3o-AC-Armando-Cruz-100063803612927/; https://www.bomcondutor.pt/escolas/escola/armando-cruz</t>
  </si>
  <si>
    <t>São Pedro do Sul</t>
  </si>
  <si>
    <t>Escola de Condução Baptista</t>
  </si>
  <si>
    <t>967466605; 963074189</t>
  </si>
  <si>
    <t>https://www.facebook.com/Escoladeconducaobaptista/</t>
  </si>
  <si>
    <t>Seg-Sex 9h-12h e 13h30-19h30; Sáb 9h-13h</t>
  </si>
  <si>
    <t>Volume médio (361 provas 2021); Facebook com 2792 seguidores (atividade recente não confirmada); sem site próprio nem app; sem sinais de dor encontrados.</t>
  </si>
  <si>
    <t>Av. Dr. Sá Carneiro, n.º 891, 3660-428 São Pedro do Sul (também listada em Rua Fontainhas, 3660-479)</t>
  </si>
  <si>
    <t>https://escola-de-conducao.pt/escola-de-conducao-baptista-306835.html; https://www.facebook.com/Escoladeconducaobaptista/; https://www.andardemoto.pt/escolas-de-conducao/dir/d/viseu/c/sao-pedro-do-sul/p-2484/escola-de-conducao-baptista/; https://www.andardemoto.pt/escolas-de-conducao/dir/d/viseu/c/sao-pedro-do-sul/p-2187/baptista/</t>
  </si>
  <si>
    <t>Oliveira de Frades</t>
  </si>
  <si>
    <t>Escola de Condução Rodovia</t>
  </si>
  <si>
    <t>232762835</t>
  </si>
  <si>
    <t>https://www.facebook.com/escoladeconducao.rodovia (link indicado pelo bomcondutor.pt; abre perfil pessoal 'António Almeida')</t>
  </si>
  <si>
    <t>Volume médio (351 provas 2021); presença online mínima (perfil pessoal no Facebook); sem site nem app; sem sinais de dor encontrados.</t>
  </si>
  <si>
    <t>Edifício Tojal, R. N. Sra. dos Milagres, 26, Ala B, Loja F, 3680-077 Oliveira de Frades</t>
  </si>
  <si>
    <t>https://www.bomcondutor.pt/escolas/escola/rodovia; https://www.andardemoto.pt/escolas-de-conducao/dir/d/viseu/c/oliveira-de-frades/p-3377/rodovia/; https://www.testesdecodigogratis.com/escola-de-conducao/rodovia/</t>
  </si>
  <si>
    <t>Tondela</t>
  </si>
  <si>
    <t>Escola de Condução Tondelense (Arménio Leite Marques, Lda)</t>
  </si>
  <si>
    <t>232822420</t>
  </si>
  <si>
    <t>912244750</t>
  </si>
  <si>
    <t>esc.cond.tondelense@mail.telepac.pt</t>
  </si>
  <si>
    <t>https://www.facebook.com/AlmEscolaDeConducaoTondelense/</t>
  </si>
  <si>
    <t>Maior escola de Tondela (359 provas), Facebook ~1.100 gostos; sem sinais de dor encontrados (email telepac antigo sugere baixa digitalização)</t>
  </si>
  <si>
    <t>Sem website; sem evidência de app</t>
  </si>
  <si>
    <t>Rua Dr. António Marques da Costa, 3460-575 Tondela</t>
  </si>
  <si>
    <t>https://www.autonews.pt/escolas-de-conducao/dir/d/viseu/c/tondela/p-3055/escola-de-conducao-tondelense/; https://www.facebook.com/AlmEscolaDeConducaoTondelense/; https://passaprimeira.xyz/distritos-regioes/viseu/concelhos/tondela/escolas/tondelense-00206/</t>
  </si>
  <si>
    <t>Seia</t>
  </si>
  <si>
    <t>Escola de Condução Costa de Prata</t>
  </si>
  <si>
    <t>238316060</t>
  </si>
  <si>
    <t>costadeprataseia@gmail.com</t>
  </si>
  <si>
    <t>https://www.facebook.com/pages/category/Driving-School/Escola-de-Condu%C3%A7%C3%A3o-Costa-de-Prata-1537665329887511/</t>
  </si>
  <si>
    <t>Seg-Sex 09:00-19:30; Sábado 09:00-12:30 (aberto)</t>
  </si>
  <si>
    <t>Volume alto (340 exames 2021, maior de Seia) sem app própria</t>
  </si>
  <si>
    <t>Av. Terras de Sena, Nº 65 R/C Dto, 6270-485 Seia</t>
  </si>
  <si>
    <t>https://escola-de-conducao.pt/escola-de-conducao-costa-de-prata-305801.html; https://passaprimeira.xyz/distritos-regioes/guarda/concelhos/seia/escolas/costa-de-prata-00182/; https://www.andardemoto.pt/escolas-de-conducao/dir/d/guarda/c/seia/p-2267/costa-de-prata/</t>
  </si>
  <si>
    <t>Escola de Condução Entre Linhas (Ensino de Condução J.F. Durão, Unip. Lda.)</t>
  </si>
  <si>
    <t>232412278</t>
  </si>
  <si>
    <t>ec.entrelinhas92@gmail.com</t>
  </si>
  <si>
    <t>https://escolaconducao.wixsite.com/entrelinhas</t>
  </si>
  <si>
    <t>https://www.facebook.com/ec.entrelinhas</t>
  </si>
  <si>
    <t>Nenhum visível (site Wix institucional)</t>
  </si>
  <si>
    <t>Seg-Sex 10h-12h, 14h-19h; Sáb: fechado (ficha Google espelhada; outra listagem indica Sáb 9h-12h)</t>
  </si>
  <si>
    <t>B (frota Peugeot 207/208)</t>
  </si>
  <si>
    <t>Volume médio (324 provas 2021), 3 instrutores, FB ativo (1372 seguidores, 33 a falar), sem sinais de dor. Provável sucessora de 'Automobilismo da Beira' (Campo Viriato 24, mesmo telefone em listagens antigas).</t>
  </si>
  <si>
    <t>https://escolaconducao.wixsite.com/entrelinhas/contactos</t>
  </si>
  <si>
    <t>Campo de Viriato, nº 26 R/C, 3510-122 Viseu (ficha Google: R. Manuel de Almeida Lopes 74 R/C, 3510-900)</t>
  </si>
  <si>
    <t>https://escola-de-conducao.pt/escola-de-conducao-entre-linhas-306267.html; https://escolaconducao.wixsite.com/entrelinhas/contactos; https://www.facebook.com/ec.entrelinhas; https://www.andardemoto.pt/escolas-de-conducao/dir/d/viseu/c/viseu/</t>
  </si>
  <si>
    <t>Escola de Condução Miguel Ângelo</t>
  </si>
  <si>
    <t>232613757</t>
  </si>
  <si>
    <t>miguelangeloescola@gmail.com</t>
  </si>
  <si>
    <t>https://escola-de-conducao-miguel-angelo.negocio.site/ (site Google Business, descontinuado)</t>
  </si>
  <si>
    <t>https://www.facebook.com/p/Escola-Condu%C3%A7%C3%A3o-Miguel-%C3%82ngelo-100057654060890/; https://www.facebook.com/p/Escola-de-Condu%C3%A7%C3%A3o-Miguel-%C3%82ngelo-100067108830241/</t>
  </si>
  <si>
    <t>Seg-Sex 9h-20h; Sáb 9h-12h30</t>
  </si>
  <si>
    <t>Volume médio (327 provas 2021, dados IMT via passaprimeira), avaliações positivas, 2 páginas Facebook (~1.040 e ~660 seguidores); sem sinais de dor</t>
  </si>
  <si>
    <t>Sem website ativo; sem evidência de app</t>
  </si>
  <si>
    <t>Rua Luís de Camões 35-37, 3530-214 Mangualde</t>
  </si>
  <si>
    <t>https://escola-de-conducao.pt/escola-de-conducao-miguel-angelo-306283.html; https://passaprimeira.xyz/distritos-regioes/viseu/concelhos/mangualde/escolas/miguel-angelo-00982/; https://www.facebook.com/p/Escola-Condu%C3%A7%C3%A3o-Miguel-%C3%82ngelo-100057654060890/</t>
  </si>
  <si>
    <t>Carregal do Sal</t>
  </si>
  <si>
    <t>Escola de Condução Saliscruz, Lda</t>
  </si>
  <si>
    <t>232961743</t>
  </si>
  <si>
    <t>968818988; 963970293; 926767674</t>
  </si>
  <si>
    <t>http://www.saliscruz.com/ (sem conteúdo)</t>
  </si>
  <si>
    <t>https://www.facebook.com/saliscruz/</t>
  </si>
  <si>
    <t>https://www.instagram.com/saliscruz/</t>
  </si>
  <si>
    <t>Seg-Sex 9h30-12h30 e 14h-18h30; Sáb 9h30-12h30</t>
  </si>
  <si>
    <t>Presença social forte para a dimensão (Facebook ~5.160 seguidores, Instagram ~980); maior escola do concelho (319)</t>
  </si>
  <si>
    <t>Sem site funcional; sem evidência de app</t>
  </si>
  <si>
    <t>Av. Nossa Senhora das Febres, Edf. Salylenda Lt A nº 12 R/C Dto, 3430-039 Carregal do Sal (Google: R. Afonso Costa 84)</t>
  </si>
  <si>
    <t>https://escola-de-conducao.pt/escola-de-conducao-saliscruz-305800.html; https://www.testesdecodigogratis.com/escola-de-conducao/saliscruz/; https://www.facebook.com/saliscruz/; https://www.instagram.com/saliscruz/; https://www.imt-ip.pt/wp-content/uploads/2025/05/Mudanca-Instalacoes_05-05-2025.pdf</t>
  </si>
  <si>
    <t>Escola de Condução 5 Sentidos (Pêgo &amp; Saraiva - Escola de Condução, Lda)</t>
  </si>
  <si>
    <t>932276189</t>
  </si>
  <si>
    <t>escola5sentidos@hotmail.com</t>
  </si>
  <si>
    <t>https://escoladeconducao5sentidos921760981.wordpress.com/</t>
  </si>
  <si>
    <t>https://www.facebook.com/escola5sentidos/</t>
  </si>
  <si>
    <t>https://www.instagram.com/escoladeconducao5sentidos/</t>
  </si>
  <si>
    <t>Telemóvel/e-mail (indicado no site)</t>
  </si>
  <si>
    <t>Seg-Sex 09:00-13:00, 14:00-19:00; Sábado 09:00-13:00 (aberto)</t>
  </si>
  <si>
    <t>B</t>
  </si>
  <si>
    <t>Volume alto (337) + presença no Instagram/Facebook; contacto por telemóvel</t>
  </si>
  <si>
    <t>Blog WordPress básico (último conteúdo ~2020); sem área do aluno</t>
  </si>
  <si>
    <t>Av. Dr. Afonso Costa (esq. Rua da Malmedra), R/c Frente, 6300-551 Guarda</t>
  </si>
  <si>
    <t>https://escola-de-conducao.pt/escola-de-conducao-5-sentidos-305802.html; https://escoladeconducao5sentidos921760981.wordpress.com/; https://escolasconducao.com/escola/pego-saraiva-escola-de-conducao-lda; https://transitoagora.pt/escolas-conducao</t>
  </si>
  <si>
    <t>Escola de Condução GOdrivinG (Pedro Saraiva Gregório, Unipessoal Lda)</t>
  </si>
  <si>
    <t>271023755</t>
  </si>
  <si>
    <t>https://www.facebook.com/godriving.ec/</t>
  </si>
  <si>
    <t>Maior escola da cidade da Guarda (326 exames 2021), marca moderna, sem app própria</t>
  </si>
  <si>
    <t>Rua Dr. Francisco Piçarra de Matos, nº 7 - Cave, 6300-693 Guarda</t>
  </si>
  <si>
    <t>https://escola-de-conducao.pt/escola-de-conducao-godriving-305799.html; https://escolasconducao.com/escola/pedro-saraiva-gregorio-unipessoal-lda; https://transitoagora.pt/escolas-conducao</t>
  </si>
  <si>
    <t>Abraveses</t>
  </si>
  <si>
    <t>Escola de Condução Auto Formadora</t>
  </si>
  <si>
    <t>232451427</t>
  </si>
  <si>
    <t>autoformadora_1001@hotmail.com</t>
  </si>
  <si>
    <t>Volume médio (309 provas 2021) mas sem website/redes sociais confirmadas; estado atual não verificado (dados de diretórios antigos).</t>
  </si>
  <si>
    <t>Bairro do Vale, Rua 9 de Julho, Lote 35, Loja D, Abraveses, 3515-156 Viseu</t>
  </si>
  <si>
    <t>https://www.andardemoto.pt/escolas-de-conducao/dir/d/viseu/c/viseu/p-2346/escola-conducao-auto-formadora/; https://www.bomcondutor.pt/escolas/escola/auto-formadora</t>
  </si>
  <si>
    <t>Escola de Condução Nova de Peniche</t>
  </si>
  <si>
    <t>262 787 012</t>
  </si>
  <si>
    <t>2ª-6ª 11h-13h / 14h-19h; Sábado 10h-13h (ABERTO sábado)</t>
  </si>
  <si>
    <t>Escola pequena (151 exames 2021)</t>
  </si>
  <si>
    <t>Rua Arquiteto Paulino Montez, 94 R/C Dto - 2520-295 Peniche</t>
  </si>
  <si>
    <t>https://passaprimeira.xyz/distritos-regioes/leiria/concelhos/peniche/escolas/nova-de-peniche-01323/; https://escola-de-conducao.pt/escola-de-conducao-nova-306626.html</t>
  </si>
  <si>
    <t>Leiria (Cruz da Areia)</t>
  </si>
  <si>
    <t>Escola de Condução Belita</t>
  </si>
  <si>
    <t>244 841 416</t>
  </si>
  <si>
    <t>918 553 338 / 964 267 612</t>
  </si>
  <si>
    <t>ecbelita@gmail.com</t>
  </si>
  <si>
    <t>http://www.ecbelita.com/</t>
  </si>
  <si>
    <t>https://www.facebook.com/ECBelita</t>
  </si>
  <si>
    <t>Secretaria 2ª-6ª 10h-12h30 / 14h30-19h (site); Google indica Sábado 10h-13h - confirmar</t>
  </si>
  <si>
    <t>B, A1, A2, A; aulas para encartados; revalidações</t>
  </si>
  <si>
    <t>"Pesssima escola. Só gastei dinheiro." (Google 1★, 2019) https://escola-de-conducao.pt/escola-de-conducao-belita-305912.html</t>
  </si>
  <si>
    <t>Escola pequena/média (207 exames 2021), presença digital básica</t>
  </si>
  <si>
    <t>Site de página única, sem área do aluno</t>
  </si>
  <si>
    <t>Rua D. José Alves Correia da Silva, 22 Loja, Cruz da Areia - 2410-117 Leiria</t>
  </si>
  <si>
    <t>http://www.ecbelita.com/; https://escola-de-conducao.pt/escola-de-conducao-belita-305912.html; https://www.andardemoto.pt/escolas-de-conducao/dir/d/leiria/c/leiria/p-2195/belita/; https://www.imt-ip.pt/wp-content/uploads/2025/01/EscolasdeConducao-2021.pdf</t>
  </si>
  <si>
    <t>Escola de Condução Lizauto</t>
  </si>
  <si>
    <t>910 205 686</t>
  </si>
  <si>
    <t>https://www.facebook.com/eclizauto/</t>
  </si>
  <si>
    <t>"no espaço de 2 meses apenas conseguiu ter 6 aulas de condução porque o instrutor nunca tinha disponibilidade de horário... não têm funcionários para dar resposta ao número de alunos" (Google 1★, 06/2023) https://escola-de-conducao.pt/escola-de-conducao-lizauto-306561.html</t>
  </si>
  <si>
    <t>Evidência de dor: dificuldade em agendar aulas / falta de disponibilidade</t>
  </si>
  <si>
    <t>Rua Dr. Afonso Lopes Vieira, 57 - 2400-082 Leiria (IMT: Rua de Setúbal, 1 r/c)</t>
  </si>
  <si>
    <t>https://passaprimeira.xyz/distritos-regioes/leiria/concelhos/leiria/escolas/lizauto-01369/; https://escola-de-conducao.pt/escola-de-conducao-lizauto-306561.html</t>
  </si>
  <si>
    <t>Escola de Condução Auto Marinhense</t>
  </si>
  <si>
    <t>244 502 442</t>
  </si>
  <si>
    <t>Volume médio (298 exames 2021); sem presença digital encontrada</t>
  </si>
  <si>
    <t>Av. da Liberdade, 155 - 1.º B - 2430-229 Marinha Grande</t>
  </si>
  <si>
    <t>https://passaprimeira.xyz/distritos-regioes/leiria/concelhos/marinha-grande/escolas/auto-marinhense-00113/; https://www.bomcondutor.pt/escolas/escola/marinhense; https://www.andardemoto.pt/escolas-de-conducao/dir/d/leiria/c/marinha-grande/p-2468/escola-de-conducao-auto-marinhense/</t>
  </si>
  <si>
    <t>Bombarral</t>
  </si>
  <si>
    <t>Escola de Condução Auto do Bombarral</t>
  </si>
  <si>
    <t>262 605 383</t>
  </si>
  <si>
    <t>escolaautobombarral@sapo.pt</t>
  </si>
  <si>
    <t>Principal escola do Bombarral (281 exames 2021); sem presença digital</t>
  </si>
  <si>
    <t>Rua Luís de Camões, 73 - 2540-113 Bombarral</t>
  </si>
  <si>
    <t>https://passaprimeira.xyz/distritos-regioes/leiria/concelhos/bombarral/escolas/auto-do-bombarral-00204/; https://escola-de-conducao.pt/escola-de-conducao-auto-do-bombarral-306852.html; https://www.andardemoto.pt/escolas-de-conducao/dir/d/leiria/c/bombarral/p-2465/escola-de-conducao-auto-do-bombarral/</t>
  </si>
  <si>
    <t>Escola de Condução M. Silva (Bray &amp; Rodrigues, Lda.)</t>
  </si>
  <si>
    <t>261 315 705; 261 322 282</t>
  </si>
  <si>
    <t>961 147 151; 927 890 304; 962 259 219</t>
  </si>
  <si>
    <t>https://www.facebook.com/econducao.msilva</t>
  </si>
  <si>
    <t>2ª-6ª 09h-20h; Sábado 09h-13h (ABERTO sábado de manhã) - Google</t>
  </si>
  <si>
    <t>Volume médio (275); o Google lista também 'M. Silva &amp; Bray' na R. António Batalha Reis 3 (possível 2.º espaço - verificar)</t>
  </si>
  <si>
    <t>Rua Dr. Carlos França, nº 27 A, 2560-329 Torres Vedras</t>
  </si>
  <si>
    <t>https://www.bomcondutor.pt/escolas/escola/m-silva; https://escola-de-conducao.pt/escola-de-conducao-m-silva-bray-305990.html; https://www.facebook.com/p/Escola-De-Condu%C3%A7%C3%A3o-M-Silva-100035720546267/; https://passaprimeira.xyz/distritos-regioes/lisboa/concelhos/torres-vedras/escolas/; https://www.imt-ip.pt/wp-content/uploads/2025/01/EscolasdeConducao-2021.pdf</t>
  </si>
  <si>
    <t>BAVI - Escola de Condução</t>
  </si>
  <si>
    <t>262 831 997 / 262 831 094</t>
  </si>
  <si>
    <t>https://www.bavi.pt/</t>
  </si>
  <si>
    <t>Secretaria ("Verificar na Secretaria Horários e Planos de Aulas")</t>
  </si>
  <si>
    <t>Secretaria 2ª-6ª 9h-13h / 15h-19h; Sábado 9h-13h (ABERTO sábado); aulas 8h-23h exc. domingos</t>
  </si>
  <si>
    <t>B; CAM, ADR, TCC, GTC</t>
  </si>
  <si>
    <t>Volume médio (238 exames 2021)</t>
  </si>
  <si>
    <t>Site sem área do aluno; link "Exames Online" e formulário de pré-inscrição</t>
  </si>
  <si>
    <t>Rua Dr. José Saudade e Silva, 59 - 2500-191 Caldas da Rainha</t>
  </si>
  <si>
    <t>https://passaprimeira.xyz/distritos-regioes/leiria/concelhos/caldas-da-rainha/escolas/bavi-00148/; https://www.bavi.pt/; https://escola-de-conducao.pt/bavi-escola-de-conducao-306163.html</t>
  </si>
  <si>
    <t>Guia</t>
  </si>
  <si>
    <t>Escola de Condução da Guia</t>
  </si>
  <si>
    <t>236 951 151</t>
  </si>
  <si>
    <t>Volume médio (248 exames 2021); sem presença digital encontrada</t>
  </si>
  <si>
    <t>Largo Eng. Guilherme Santos, 3 - 3100-863 Guia (Pombal)</t>
  </si>
  <si>
    <t>https://passaprimeira.xyz/distritos-regioes/leiria/concelhos/pombal/escolas/guia-00782/; https://www.bomcondutor.pt/escolas/escola/guia; https://www.andardemoto.pt/escolas-de-conducao/dir/d/leiria/c/pombal/p-2557/escola-de-conducao-da-guia/</t>
  </si>
  <si>
    <t>Escola de Condução Cister</t>
  </si>
  <si>
    <t>262 920 603 / 262 148 077</t>
  </si>
  <si>
    <t>2ª-6ª 9h-12h30 / 15h-20h; Sábado 9h-12h30 / 15h-20h (ABERTO sábado, segundo Google)</t>
  </si>
  <si>
    <t>Volume médio (215 exames 2021); sem presença digital</t>
  </si>
  <si>
    <t>Rua Rei da Memória, 134 (EN 8/6) - 2475-149 Benedita</t>
  </si>
  <si>
    <t>https://passaprimeira.xyz/distritos-regioes/leiria/concelhos/alcobaca/escolas/cister-00867/; https://escola-de-conducao.pt/escola-de-conducao-cister-306230.html; https://www.bomcondutor.pt/escolas/escola/cister</t>
  </si>
  <si>
    <t>Escola de Condução Nova Alcoa</t>
  </si>
  <si>
    <t>969 303 405</t>
  </si>
  <si>
    <t>2ª-6ª 9h-19h; Sábado 9h-12h30 (ABERTO sábado)</t>
  </si>
  <si>
    <t>Volume médio (226 exames 2021); sem presença digital</t>
  </si>
  <si>
    <t>Rua Costa Veiga, 56 - 2460-028 Alcobaça</t>
  </si>
  <si>
    <t>https://passaprimeira.xyz/distritos-regioes/leiria/concelhos/alcobaca/escolas/nova-alcoa-01147/; https://escola-de-conducao.pt/nova-alcoa-306727.html</t>
  </si>
  <si>
    <t>Caldas da Rainha (Santo Onofre)</t>
  </si>
  <si>
    <t>Escola de Condução Oeste</t>
  </si>
  <si>
    <t>262 380 029</t>
  </si>
  <si>
    <t>https://www.facebook.com/pages/Escola-de-Condução-Oeste/510906198925845</t>
  </si>
  <si>
    <t>Volume médio (231 exames 2021), taxa de aprovação baixa (~44%)</t>
  </si>
  <si>
    <t>Rua Cidade de Abrantes, 23 - Santo Onofre - 2500-146 Caldas da Rainha</t>
  </si>
  <si>
    <t>https://passaprimeira.xyz/distritos-regioes/leiria/concelhos/caldas-da-rainha/escolas/oeste-01064/; https://escola-de-conducao.pt/escola-de-conducao-oeste-306743.html; https://www.bomcondutor.pt/escolas/escola/oeste</t>
  </si>
  <si>
    <t>Escola de Condução Portomosense</t>
  </si>
  <si>
    <t>244 491 296 / 244 482 636</t>
  </si>
  <si>
    <t>918 782 382</t>
  </si>
  <si>
    <t>portomosense@batalhense.com (antigo)</t>
  </si>
  <si>
    <t>Ex-delegação do Grupo Batalhense (já não listada em batalhense.com - confirmar ligação); 216 exames 2021, alta aprovação</t>
  </si>
  <si>
    <t>Rua Eng. Adelino Amaro da Costa, 3 - 2480-317 Porto de Mós</t>
  </si>
  <si>
    <t>https://passaprimeira.xyz/distritos-regioes/leiria/concelhos/porto-de-mos/escolas/portomosense-00442/; https://www.bomcondutor.pt/escolas/escola/batalhense-portomosense; https://www.andardemoto.pt/escolas-de-conducao/dir/d/leiria/c/porto-de-mos/p-2053/portomosense/</t>
  </si>
  <si>
    <t>Mira de Aire</t>
  </si>
  <si>
    <t>Escola de Condução A Gruta</t>
  </si>
  <si>
    <t>244 441 148 / 244 441 188</t>
  </si>
  <si>
    <t>https://www.facebook.com/pages/Escola-de-Condução-A-Gruta/529385423754966</t>
  </si>
  <si>
    <t>2ª-6ª 9h-12h / 14h30-19h; FECHADO ao sábado (Google)</t>
  </si>
  <si>
    <t>Escola média-pequena (197 exames 2021); fechada ao sábado</t>
  </si>
  <si>
    <t>Rua das Mangas, 12 - 2485-007 Mira de Aire</t>
  </si>
  <si>
    <t>https://passaprimeira.xyz/distritos-regioes/leiria/concelhos/porto-de-mos/escolas/a-gruta-00958/; https://escola-de-conducao.pt/escola-de-conducao-a-gruta-306635.html; https://www.bomcondutor.pt/escolas/escola/a-gruta</t>
  </si>
  <si>
    <t>Ansião</t>
  </si>
  <si>
    <t>Escola de Condução Auto Volante das Serras de Ansião</t>
  </si>
  <si>
    <t>236 677 480 / 236 677 667</t>
  </si>
  <si>
    <t>Escola média-pequena (189 exames 2021)</t>
  </si>
  <si>
    <t>Av. Dr. Vítor Faveiro, Lote 3 - 3240-153 Ansião</t>
  </si>
  <si>
    <t>https://passaprimeira.xyz/distritos-regioes/leiria/concelhos/ansiao/escolas/auto-volante-das-serras-de-ansiao-00894/; https://escola-de-conducao.pt/escola-de-conducao-auto-volante-serras-de-ansiao-306511.html; https://www.bomcondutor.pt/escolas/escola/auto-volante-das-serras-de-ansiao</t>
  </si>
  <si>
    <t>Atouguia da Baleia (Porto de Lobos)</t>
  </si>
  <si>
    <t>Escola de Condução Baleia</t>
  </si>
  <si>
    <t>262 759 819 / 262 759 207 / 262 789 191</t>
  </si>
  <si>
    <t>968 631 863</t>
  </si>
  <si>
    <t>https://www.facebook.com/EscolaDeConducaoBaleia</t>
  </si>
  <si>
    <t>Volume médio (202 exames 2021); possível 2.ª instalação em Peniche (andardemoto) - confirmar</t>
  </si>
  <si>
    <t>Rua Porto de Lobos - 2525 Atouguia da Baleia (delegação antiga em Peniche: Rua António Conceição Bento, 6 r/c D)</t>
  </si>
  <si>
    <t>https://passaprimeira.xyz/distritos-regioes/leiria/concelhos/peniche/escolas/baleia-00548/; https://www.bomcondutor.pt/escolas/escola/baleia; https://www.andardemoto.pt/escolas-de-conducao/dir/d/leiria/c/peniche/p-2483/escola-de-conducao-baleia/</t>
  </si>
  <si>
    <t>São Martinho do Porto</t>
  </si>
  <si>
    <t>Escola de Condução D. Carlos</t>
  </si>
  <si>
    <t>Volume médio (205 exames 2021); sem contactos/presença digital encontrados</t>
  </si>
  <si>
    <t>Av. Marginal, 23 - Loja A - 2460-001 São Martinho do Porto</t>
  </si>
  <si>
    <t>https://passaprimeira.xyz/distritos-regioes/leiria/concelhos/alcobaca/escolas/d-carlos-00868/; https://www.andardemoto.pt/escolas-de-conducao/dir/d/leiria/c/alcobaca/p-2274/d-carlos/</t>
  </si>
  <si>
    <t>Souto da Carpalhosa (Várzeas)</t>
  </si>
  <si>
    <t>Escola de Condução Limits</t>
  </si>
  <si>
    <t>244 032 899</t>
  </si>
  <si>
    <t>936 220 119</t>
  </si>
  <si>
    <t>https://www.facebook.com/Escola-de-Condução-Limits-1645568475691536</t>
  </si>
  <si>
    <t>https://www.instagram.com/escolalimits/</t>
  </si>
  <si>
    <t>2ª-6ª 10h-13h / 14h30-19h; Sábado 10h-12h30 (ABERTO sábado)</t>
  </si>
  <si>
    <t>Escola independente de volume médio (199 exames 2021); tem Instagram</t>
  </si>
  <si>
    <t>Estrada Nacional 109, n.º 161, Várzeas - 2425-507 Souto da Carpalhosa</t>
  </si>
  <si>
    <t>https://passaprimeira.xyz/distritos-regioes/leiria/concelhos/leiria/escolas/limits-01338/; https://escola-de-conducao.pt/escola-de-conducao-limits-305872.html; https://www.bomcondutor.pt/escolas/escola/limits</t>
  </si>
  <si>
    <t>Escola de Condução Supertubos</t>
  </si>
  <si>
    <t>914 553 794</t>
  </si>
  <si>
    <t>2ª-6ª 10h-20h; Sábado 9h-13h (ABERTO sábado)</t>
  </si>
  <si>
    <t>Volume médio (191 exames 2021)</t>
  </si>
  <si>
    <t>Rua Ramiro de Matos Bilhau, 8-10 - 2520-285 Peniche</t>
  </si>
  <si>
    <t>https://passaprimeira.xyz/distritos-regioes/leiria/concelhos/peniche/escolas/supertubos-00129/; https://escola-de-conducao.pt/escola-de-conducao-supertubos-306927.html</t>
  </si>
  <si>
    <t>Ponte do Rol / Ribaldeira (Dois Portos)</t>
  </si>
  <si>
    <t>Escola de Condução Via Principal</t>
  </si>
  <si>
    <t>261 712 428</t>
  </si>
  <si>
    <t>919 373 284; 917 217 729</t>
  </si>
  <si>
    <t>https://viaprincipal.comunidades.net/</t>
  </si>
  <si>
    <t>https://www.facebook.com/ec.via.principal</t>
  </si>
  <si>
    <t>A, A1, B, B1</t>
  </si>
  <si>
    <t>Escola pequena (188 provas 2021), sem sinais de dor</t>
  </si>
  <si>
    <t>Site gratuito em comunidades.net, sem área do aluno</t>
  </si>
  <si>
    <t>Av. Padre Dr. Raúl Sarreira, nº 95 R/C, 2560-127 Ponte do Rol (IMT/bomcondutor); outros diretórios indicam R. da Restauração, 2, Ribaldeira, 2565-253 Dois Portos - confirmar</t>
  </si>
  <si>
    <t>https://viaprincipal.comunidades.net/; https://www.bomcondutor.pt/escolas/escola/via-principal; https://www.yelp.com/biz/escola-de-condu%C3%A7%C3%A3o-via-principal-torres-vedras; https://passaprimeira.xyz/distritos-regioes/lisboa/concelhos/torres-vedras/escolas/; https://www.imt-ip.pt/wp-content/uploads/2025/01/EscolasdeConducao-2021.pdf; https://portalnacional.com.pt/lisboa/torres-vedras/empresas/ensino/escolas-de-conducao/</t>
  </si>
  <si>
    <t>Marrazes</t>
  </si>
  <si>
    <t>Escola de Condução Marrazes</t>
  </si>
  <si>
    <t>244 092 262</t>
  </si>
  <si>
    <t>919 868 008</t>
  </si>
  <si>
    <t>marrazes@batalhense.com (email antigo, andardemoto)</t>
  </si>
  <si>
    <t>https://www.facebook.com/grupobatalhense (antigo)</t>
  </si>
  <si>
    <t>2ª-6ª 9h30-12h30 / 14h-19h; Sábado 9h30-12h30 (ABERTO sábado, segundo Google)</t>
  </si>
  <si>
    <t>Ex-delegação Batalhense (já não listada em batalhense.com) - confirmar se ainda pertence ao grupo; volume médio (174 exames 2021)</t>
  </si>
  <si>
    <t>Rua Dr. José Diogo Oliveira Júnior, 4 - 2415-423 Leiria</t>
  </si>
  <si>
    <t>https://passaprimeira.xyz/distritos-regioes/leiria/concelhos/leiria/escolas/marrazes-01293/; https://escola-de-conducao.pt/escola-de-conducao-marrazes-305911.html; https://www.andardemoto.pt/escolas-de-conducao/dir/d/leiria/c/leiria/p-2193/batalhense-de-marrazes/; https://www.bomcondutor.pt/escolas/escola/batalhense-marrazes</t>
  </si>
  <si>
    <t>Escola de Condução Santo António</t>
  </si>
  <si>
    <t>Volume médio (184 exames 2021); sem presença digital encontrada</t>
  </si>
  <si>
    <t>Rua Professor Roque Duarte, 13 B - 2510-554 Óbidos</t>
  </si>
  <si>
    <t>https://passaprimeira.xyz/distritos-regioes/leiria/concelhos/obidos/escolas/santo-antonio-00632/</t>
  </si>
  <si>
    <t>Escola de Condução Cidade Florida</t>
  </si>
  <si>
    <t>https://www.facebook.com/ecidadeflorida/</t>
  </si>
  <si>
    <t>Sem plataforma visível; contacto via Facebook/telefone. Anuncia 'Garantimos transporte'</t>
  </si>
  <si>
    <t>Presença social ativa (Facebook ~2673 seguidores, 129 'falam sobre isto') sugere abertura a tecnologia; sem app própria</t>
  </si>
  <si>
    <t>Av. António Farinha Pereira, Edifício Mamade, R/C B, 2200-024 Abrantes</t>
  </si>
  <si>
    <t>https://www.facebook.com/ecidadeflorida/; https://www.autonews.pt/escolas-de-conducao/dir/d/santarem/c/abrantes/p-2240/cidade-florida/; https://www.imt-ip.pt/wp-content/uploads/2025/01/EscolasdeConducao-2021.pdf</t>
  </si>
  <si>
    <t>Avelar</t>
  </si>
  <si>
    <t>Escola de Condução de Avelar</t>
  </si>
  <si>
    <t>236 621 058</t>
  </si>
  <si>
    <t>919 562 161</t>
  </si>
  <si>
    <t>ec.avelar@sapo.pt</t>
  </si>
  <si>
    <t>https://www.facebook.com/escolaconducao.avelar/</t>
  </si>
  <si>
    <t>2ª-6ª 10h-20h; Sábado 10h-14h (ABERTO sábado)</t>
  </si>
  <si>
    <t>Escola pequena (140 exames 2021)</t>
  </si>
  <si>
    <t>Rua Nova, 73 A - 3240-326 Avelar</t>
  </si>
  <si>
    <t>https://passaprimeira.xyz/distritos-regioes/leiria/concelhos/ansiao/escolas/avelar-01208/; https://escola-de-conducao.pt/escola-de-conducao-avelar-306370.html; https://www.andardemoto.pt/escolas-de-conducao/dir/d/leiria/c/ansiao/p-2582/escola-de-conducao-de-avelar/</t>
  </si>
  <si>
    <t>Aljubarrota</t>
  </si>
  <si>
    <t>Escola de Condução Aljubarrota</t>
  </si>
  <si>
    <t>Escola recente (licença 1375), 125 exames 2021; sem presença digital encontrada</t>
  </si>
  <si>
    <t>Estrada Nacional 8, n,º 1, fração A, loja C r/c 2460-711 São Vicente Aljubarrota</t>
  </si>
  <si>
    <t>https://passaprimeira.xyz/distritos-regioes/leiria/concelhos/alcobaca/escolas/aljubarrota-01375/</t>
  </si>
  <si>
    <t>Escola de Condução Cordeiro</t>
  </si>
  <si>
    <t>262 603 519</t>
  </si>
  <si>
    <t>936 538 770</t>
  </si>
  <si>
    <t>eccordeiro97@gmail.com</t>
  </si>
  <si>
    <t>Escola pequena (133 exames 2021); no mesmo endereço existe ficha Google "formaOpção - 5 Bombarral"</t>
  </si>
  <si>
    <t>Av. Dr. Joaquim Albuquerque, Lote 1 R/C C - 2540-004 Bombarral</t>
  </si>
  <si>
    <t>https://passaprimeira.xyz/distritos-regioes/leiria/concelhos/bombarral/escolas/cordeiro-00573/; https://www.bomcondutor.pt/escolas/escola/cordeiro; https://www.andardemoto.pt/escolas-de-conducao/dir/d/leiria/c/bombarral/p-2264/cordeiro/</t>
  </si>
  <si>
    <t>Pataias</t>
  </si>
  <si>
    <t>Escola de Condução Mar à Vista</t>
  </si>
  <si>
    <t>928 025 176</t>
  </si>
  <si>
    <t>2ª-6ª 10h-19h; Sábado 10h-12h30 (ABERTO sábado)</t>
  </si>
  <si>
    <t>Escola recente e pequena (117 exames 2021)</t>
  </si>
  <si>
    <t>Av. Rainha Santa Isabel, 234 - 2445-206 Pataias</t>
  </si>
  <si>
    <t>https://passaprimeira.xyz/distritos-regioes/leiria/concelhos/alcobaca/escolas/mar-a-vista-01389/; https://escola-de-conducao.pt/escola-de-conducao-mar-a-vista-305903.html</t>
  </si>
  <si>
    <t>Alcanena</t>
  </si>
  <si>
    <t>Escola de Condução Alcanena (J. Cação, Lda.)</t>
  </si>
  <si>
    <t>249 882 104</t>
  </si>
  <si>
    <t>938 821 040</t>
  </si>
  <si>
    <t>https://www.facebook.com/escoladeconducao.alcanena</t>
  </si>
  <si>
    <t>Seg-Sex 09:30-18:00; Sábado ENCERRADO (segundo o Google)</t>
  </si>
  <si>
    <t>Volume médio (248), empresa ativa desde 1981; fechada ao sábado.</t>
  </si>
  <si>
    <t>Rua José Alves Anastácio, 36, 2380-077 Alcanena</t>
  </si>
  <si>
    <t>https://escola-de-conducao.pt/j-cacao-lda-307205.html; https://www.racius.com/j-cacao-lda/; https://www.testesdecodigogratis.com/escola-de-conducao/alcanena/; https://www.imt-ip.pt/wp-content/uploads/2025/01/EscolasdeConducao-2021.pdf</t>
  </si>
  <si>
    <t>Escola de Condução Auto Ansião</t>
  </si>
  <si>
    <t>236 677 393</t>
  </si>
  <si>
    <t>Escola pequena (103 exames 2021)</t>
  </si>
  <si>
    <t>Urbanização do Brejo, Lote 32 - 3240-207 Ansião</t>
  </si>
  <si>
    <t>https://passaprimeira.xyz/distritos-regioes/leiria/concelhos/ansiao/escolas/auto-ansiao-00354/; https://www.andardemoto.pt/escolas-de-conducao/dir/d/leiria/c/ansiao/p-2476/escola-de-conducao-auto-ansiao/</t>
  </si>
  <si>
    <t>Valado dos Frades</t>
  </si>
  <si>
    <t>Escola de Condução Oceânica (D. Fuas Unipessoal)</t>
  </si>
  <si>
    <t>262 577 428 / 262 578 104</t>
  </si>
  <si>
    <t>967 014 350</t>
  </si>
  <si>
    <t>https://www.facebook.com/oceanicaec</t>
  </si>
  <si>
    <t>2ª-6ª 15h-19h; FECHADO ao sábado (Google)</t>
  </si>
  <si>
    <t>Escola pequena (94 exames 2021), horário reduzido</t>
  </si>
  <si>
    <t>Rua do Campo, 3 r/c - 2450-359 Valado dos Frades</t>
  </si>
  <si>
    <t>https://passaprimeira.xyz/distritos-regioes/leiria/concelhos/nazare/escolas/oceanica-00539/; https://escola-de-conducao.pt/escola-de-conducao-d-fuas-unipessoal-lda-306507.html; https://www.andardemoto.pt/escolas-de-conducao/dir/d/leiria/c/nazare/p-2651/escola-de-conducao-oceanica/</t>
  </si>
  <si>
    <t>Esco 2000 e Tal - Escola de Condução</t>
  </si>
  <si>
    <t>249 544 480 / 249 544 479</t>
  </si>
  <si>
    <t>917 246 195 / 966 390 865</t>
  </si>
  <si>
    <t>http://www.esco2000.com (domínio inativo)</t>
  </si>
  <si>
    <t>Seg-Sáb 09:00-20:00 segundo o Google (ABERTO sábado - confirmar)</t>
  </si>
  <si>
    <t>Volume médio, sem presença digital relevante (o site foi abaixo).</t>
  </si>
  <si>
    <t>Rua Dr. Francisco Sá Carneiro, 60, 2490-548 Ourém</t>
  </si>
  <si>
    <t>https://escola-de-conducao.pt/esco-2000-e-tal-escola-de-conducao-lda-306308.html; https://www.racius.com/esco-2000-e-tal-escola-de-conducao-unipessoal-lda/; https://www.testesdecodigogratis.com/escola-de-conducao/esco-2000/; https://www.imt-ip.pt/wp-content/uploads/2025/01/EscolasdeConducao-2021.pdf</t>
  </si>
  <si>
    <t>Escola de Condução Ideal Cartaxense</t>
  </si>
  <si>
    <t>243 702 341</t>
  </si>
  <si>
    <t>idealcartaxense@sapo.pt</t>
  </si>
  <si>
    <t>http://www.facebook.com/pages/Escola-de-Condução-Ideal-Cartaxense/238995212798468</t>
  </si>
  <si>
    <t>Escola independente de volume médio; sem dados de dor</t>
  </si>
  <si>
    <t>Rua José Ribeiro da Costa nº 91, 2º Esq., 2070-099 Cartaxo</t>
  </si>
  <si>
    <t>https://www.testesdecodigogratis.com/escola-de-conducao/ideal-cartaxense/; https://www.andardemoto.pt/escolas-de-conducao/dir/d/santarem/c/cartaxo/; https://www.imt-ip.pt/wp-content/uploads/2025/01/EscolasdeConducao-2021.pdf</t>
  </si>
  <si>
    <t>Albergaria dos Doze</t>
  </si>
  <si>
    <t>Escola de Condução Estrela de Albergaria dos Doze</t>
  </si>
  <si>
    <t>236 932 540 / 236 932 541</t>
  </si>
  <si>
    <t>Escola pequena (70 exames 2021)</t>
  </si>
  <si>
    <t>Rua Principal, 289 r/c - 3100-081 Albergaria dos Doze</t>
  </si>
  <si>
    <t>https://passaprimeira.xyz/distritos-regioes/leiria/concelhos/pombal/escolas/estrela-de-albergaria-dos-doze-01082/; https://escola-de-conducao.pt/escola-de-conducao-estrela-de-albergaria-dos-doze-sociedade-unipessoal-lda-306715.html; https://www.bomcondutor.pt/escolas/escola/estrela-de-albergaria</t>
  </si>
  <si>
    <t>Escola de Condução Origens</t>
  </si>
  <si>
    <t>https://www.facebook.com/ecorigens/</t>
  </si>
  <si>
    <t>Volume médio (211 exames 2021); só se encontrou a página de Facebook (localização Alcanena) - morada/contactos por apurar.</t>
  </si>
  <si>
    <t>https://www.facebook.com/ecorigens/; https://www.imt-ip.pt/wp-content/uploads/2025/01/EscolasdeConducao-2021.pdf</t>
  </si>
  <si>
    <t>Sapataria</t>
  </si>
  <si>
    <t>Escola de Condução Monte Agraço (Montagraço)</t>
  </si>
  <si>
    <t>261 786 539</t>
  </si>
  <si>
    <t>Escola muito pequena (40 provas em 2021); confirmar se ainda opera</t>
  </si>
  <si>
    <t>Largo da Sapataria, 5 R/C, 2590-430 Sapataria, Sobral de Monte Agraço</t>
  </si>
  <si>
    <t>https://www.bomcondutor.pt/escolas/escola/monte-agraco; https://www.imt-ip.pt/wp-content/uploads/2025/01/EscolasdeConducao-2021.pdf</t>
  </si>
  <si>
    <t>Escola de Condução Nova do Bombarral</t>
  </si>
  <si>
    <t>Escola nova em 2021 (20 exames); contactos por confirmar</t>
  </si>
  <si>
    <t>Rua Comandante Palmiro Fernandes, 10, Loja A - 2540-040 Bombarral</t>
  </si>
  <si>
    <t>https://passaprimeira.xyz/distritos-regioes/leiria/concelhos/bombarral/escolas/nova-do-bombarral-01357/</t>
  </si>
  <si>
    <t>Chamusca</t>
  </si>
  <si>
    <t>Escola de Condução Chamusca (Barão de S. Cosme, Lda)</t>
  </si>
  <si>
    <t>249 760 277</t>
  </si>
  <si>
    <t>escola.conducao.chamusca@gmail.com</t>
  </si>
  <si>
    <t>https://www.facebook.com/Escola-de-Condução-Chamusca-250443278348151/</t>
  </si>
  <si>
    <t>Única escola na vila da Chamusca; volume pequeno</t>
  </si>
  <si>
    <t>Travessa Barão de São Cosme nº 3, 2140-147 Chamusca</t>
  </si>
  <si>
    <t>https://www.testesdecodigogratis.com/escola-de-conducao/chamusca/; https://www.andardemoto.pt/escolas-de-conducao/dir/d/santarem/c/santarem/; https://escola-de-conducao.pt/escola-de-conducao-barao-de-s-cosme-lda-307055.html; https://escolasconducao.com/escola/escola-de-conducao-barao-de-s-cosme-lda; https://www.imt-ip.pt/wp-content/uploads/2025/01/EscolasdeConducao-2021.pdf</t>
  </si>
  <si>
    <t>Escola de Condução S. Domingos</t>
  </si>
  <si>
    <t>243 372 367 ; 243 372 353</t>
  </si>
  <si>
    <t>ccatome@clix.pt</t>
  </si>
  <si>
    <t>https://www.facebook.com/escola.conducao.saodomingos/</t>
  </si>
  <si>
    <t>Escola pequena; empresa Custódio Alves Tomé Unipessoal — possível ligação familiar ao grupo Matos/Tomé (não confirmada)</t>
  </si>
  <si>
    <t>Praceta João Caetano Brás nº 9, 2005-517 Santarém</t>
  </si>
  <si>
    <t>https://www.andardemoto.pt/escolas-de-conducao/dir/d/santarem/c/santarem/p-2326/escola-de-conducao-s-domingos/; https://escola-de-conducao.pt/custodio-alves-tome-unipessoal-lda-306692.html; https://www.imt-ip.pt/wp-content/uploads/2025/01/EscolasdeConducao-2021.pdf</t>
  </si>
  <si>
    <t>Coimbra (Conchada)</t>
  </si>
  <si>
    <t>Escola de Condução de Automóveis do Centro (Maria Pereira)</t>
  </si>
  <si>
    <t>239 824 243; 239 825 206</t>
  </si>
  <si>
    <t>ecautomoveiscentro@gmail.com</t>
  </si>
  <si>
    <t>'exija todos os minutos pagos para a aula' (2020, https://escola-de-conducao.pt/automoveis-do-centro-escola-de-conducao-305921.html)</t>
  </si>
  <si>
    <t>Escola pequena/tradicional (155 provas 2021), sem presença digital</t>
  </si>
  <si>
    <t>Largo da Conchada, 11, 3000-118 Coimbra</t>
  </si>
  <si>
    <t>https://escola-de-conducao.pt/automoveis-do-centro-escola-de-conducao-305921.html; https://www.bomcondutor.pt/escolas/escola/maria-pereira; https://www.andardemoto.pt/escolas-de-conducao/dir/d/coimbra/c/coimbra/p-2580/escola-de-conducao-de-automoveis-do-centro/; https://portalnacional.com.pt/coimbra/empresas/ensino/escolas-de-conducao/; https://www.imt-ip.pt/wp-content/uploads/2025/01/EscolasdeConducao-2021.pdf</t>
  </si>
  <si>
    <t>Juncal</t>
  </si>
  <si>
    <t>Escola de Condução da Serra</t>
  </si>
  <si>
    <t>244 098 503</t>
  </si>
  <si>
    <t>Não consta das listas IMT 2021/passaprimeira (pode operar sob outro alvará/delegação) - confirmar atividade</t>
  </si>
  <si>
    <t>Rua da Escola, 15 r/c - 2480-356 Juncal</t>
  </si>
  <si>
    <t>https://escola-de-conducao.pt/escola-de-conducao-da-serra-lda-306487.html; https://www.andardemoto.pt/escolas-de-conducao/dir/d/leiria/c/porto-de-mos/p-2568/escola-de-conducao-da-serra/</t>
  </si>
  <si>
    <t>Ferreira do Zêzere (não confirmado)</t>
  </si>
  <si>
    <t>Escola de Condução NovaZêzere</t>
  </si>
  <si>
    <t>Consta do relatório IMT 2021 (113 exames); localização não confirmada (possivelmente Águas Belas, Ferreira do Zêzere, ou zona de Constância) - apurar.</t>
  </si>
  <si>
    <t>https://www.imt-ip.pt/wp-content/uploads/2025/01/EscolasdeConducao-2021.pdf; https://transitoagora.pt/escolas-conducao</t>
  </si>
  <si>
    <t>Couço</t>
  </si>
  <si>
    <t>Escola de Condução Sorraia</t>
  </si>
  <si>
    <t>243 650 232</t>
  </si>
  <si>
    <t>Escola pequena e rural (121 provas em 2021); sem presença digital encontrada</t>
  </si>
  <si>
    <t>Rua do Comércio, N.º 18 a 24, 2100-330 Couço</t>
  </si>
  <si>
    <t>https://www.bomcondutor.pt/escolas/escola/sorraia; https://www.autonews.pt/escolas-de-conducao/dir/d/santarem/c/coruche/p-3467/sorraia/; https://escolasconducao.com/escola/sorraia-lda; https://www.imt-ip.pt/wp-content/uploads/2025/01/EscolasdeConducao-2021.pdf</t>
  </si>
  <si>
    <t>Escola de Condução Todos os Santos</t>
  </si>
  <si>
    <t>243 703 775</t>
  </si>
  <si>
    <t>http://www.facebook.com/escolaconducao.todossantos</t>
  </si>
  <si>
    <t>Escola pequena independente</t>
  </si>
  <si>
    <t>Rua José Ribeiro da Costa nº 241, 1º, 2070-084 Cartaxo</t>
  </si>
  <si>
    <t>https://www.testesdecodigogratis.com/escola-de-conducao/todos-os-santos/; https://www.bomcondutor.pt/escolas/lista/Santar%C3%A9m/Cartaxo; https://www.imt-ip.pt/wp-content/uploads/2025/01/EscolasdeConducao-2021.pdf</t>
  </si>
  <si>
    <t>Escola de Condução Santo António, Lda.</t>
  </si>
  <si>
    <t>214 914 316</t>
  </si>
  <si>
    <t>Pouca informação. O bomcondutor lista uma 'Santo António' em Arruda dos Vinhos (Rua da Chã 10, 2630-041, tel. 219 693 908) - pode ser a mesma marca/grupo; verificar se opera e se é multi-sede</t>
  </si>
  <si>
    <t>Avenida Marquês de Pombal, Bloco B, Corpo Dois, Loja Direita, Sobral de Monte Agraço</t>
  </si>
  <si>
    <t>https://escola-de-conducao.pt/escola-de-conducao-santo-antonio-lda-306377.html; https://www.bomcondutor.pt/escolas/escola/santo-antonio-2</t>
  </si>
  <si>
    <t>Escola de Condução Saturno</t>
  </si>
  <si>
    <t>231 202 812</t>
  </si>
  <si>
    <t>913 152 260</t>
  </si>
  <si>
    <t>escola_saturno@sapo.pt</t>
  </si>
  <si>
    <t>https://www.facebook.com/escolasaturno/</t>
  </si>
  <si>
    <t>Seg 10:00–13:00 14:00–20:00 Ter 10:00–13:00 14:00–20:00 Qua 10:00–13:00 14:00–20:00 Qui 10:00–13:00 14:00–20:00 Sex 10:00–13:00 14:00–20:00 SÁB 09:00–13:00 Dom Encerrado — aberto sábado de manhã</t>
  </si>
  <si>
    <t>"Fazem sempre os mesmos percursos, e não ensinam coisas básicas do dia a dia" (1★, 09/07/2023) https://escola-de-conducao.pt/saturno-306436.html</t>
  </si>
  <si>
    <t>Maior volume da Mealhada (242 exames 2021), sem app nem website; Facebook com ~2 mil gostos</t>
  </si>
  <si>
    <t>Rua Capitão Cabral, nº 6 e 8, 3050-345 Mealhada</t>
  </si>
  <si>
    <t>https://escola-de-conducao.pt/saturno-306436.html; https://www.bomcondutor.pt/escolas/escola/saturno; https://www.facebook.com/escolasaturno/; https://passaprimeira.xyz/en/districts-regions/aveiro/municipalities/mealhada/schools/</t>
  </si>
  <si>
    <t>Escola de Condução São Mateus</t>
  </si>
  <si>
    <t>239 502 171</t>
  </si>
  <si>
    <t>918 270 135</t>
  </si>
  <si>
    <t>Escola pequena; empresa provavelmente José Alfredo &amp; Santiago Lda. (mesma rua na listagem antiga)</t>
  </si>
  <si>
    <t>Av. Dr. João Esteves Simões, 14, 3130-198 Soure</t>
  </si>
  <si>
    <t>https://escola-de-conducao.pt/escola-de-conducao-sao-mateus-214616.html; https://www.andardemoto.pt/escolas-de-conducao/dir/d/coimbra/c/soure/p-3212/s-mateus/; https://www.andardemoto.pt/escolas-de-conducao/dir/d/coimbra/c/soure/p-3211/jose-alfredo-santiago/; https://www.imt-ip.pt/wp-content/uploads/2025/01/EscolasdeConducao-2021.pdf</t>
  </si>
  <si>
    <t>Riachos</t>
  </si>
  <si>
    <t>Escola de Condução Riachense</t>
  </si>
  <si>
    <t>249 820 616</t>
  </si>
  <si>
    <t>Escola pequena (46 exames 2021); sem presença online encontrada - confirmar que está ativa.</t>
  </si>
  <si>
    <t>Cancela do Leão - Várzea dos Mesiões, Lote 1, Fração A, 2350-425 Torres Novas (também listada: Urb. Cancela do Leão, Lote 4, Loja D, 2350-346 Riachos)</t>
  </si>
  <si>
    <t>https://www.andardemoto.pt/escolas-de-conducao/dir/d/santarem/c/torres-novas/p-2963/escola-de-conducao-riachense/; https://www.andardemoto.pt/escolas-de-conducao/dir/d/santarem/c/torres-novas/p-3366/riachense-de-i-lopes/; https://www.imt-ip.pt/wp-content/uploads/2025/01/EscolasdeConducao-2021.pdf</t>
  </si>
  <si>
    <t>Taveiro</t>
  </si>
  <si>
    <t>Escola de Condução Taveiro</t>
  </si>
  <si>
    <t>Escola de freguesia (171 provas 2021); poucos dados de contacto — confirmar atividade</t>
  </si>
  <si>
    <t>Rua Soldado José dos Santos Calhau, 14, 3045-481 Taveiro</t>
  </si>
  <si>
    <t>https://www.andardemoto.pt/escolas-de-conducao/dir/d/coimbra/c/coimbra/p-3472/taveiro/; https://www.imt-ip.pt/wp-content/uploads/2025/01/EscolasdeConducao-2021.pdf</t>
  </si>
  <si>
    <t>Escola de Condução Alto Nível de Albergaria-a-Velha (Escola de Condução de Albergaria-a-Velha)</t>
  </si>
  <si>
    <t>234 521 219; 234 524 162</t>
  </si>
  <si>
    <t>https://www.facebook.com/p/Escola-de-Condu%C3%A7%C3%A3o-de-Albergaria-a-Velha-100042599126343/</t>
  </si>
  <si>
    <t>Maior volume do concelho (296 exames 2021, IMT) sem website/app próprio; Facebook pouco ativo (688 seguidores)</t>
  </si>
  <si>
    <t>Rua 1º de Maio, 1º F, 3850-003 Albergaria-a-Velha</t>
  </si>
  <si>
    <t>https://passaprimeira.xyz/en/districts-regions/aveiro/municipalities/albergaria-a-velha/schools/; https://www.bomcondutor.pt/escolas/escola/albergariaavelha; https://www.andardemoto.pt/escolas-de-conducao/dir/d/aveiro/c/albergaria-a-velha/p-2420/escola-de-conducao-albergaria-a-velha/; https://www.facebook.com/p/Escola-de-Condu%C3%A7%C3%A3o-de-Albergaria-a-Velha-100042599126343/</t>
  </si>
  <si>
    <t>Escola de Condução Planeta</t>
  </si>
  <si>
    <t>234 312 181</t>
  </si>
  <si>
    <t>Seg-Sex 09:00-20:00; Sábado encerrado (segundo Google)</t>
  </si>
  <si>
    <t>"O atendente ignorante ao telefone" (08/2022) https://escola-de-conducao.pt/escola-de-conducao-planeta-306689.html</t>
  </si>
  <si>
    <t>Escola independente de volume médio; sinal de dor fraco (1 review); fechada ao sábado</t>
  </si>
  <si>
    <t>Rua Vicente de Almeida d'Eça, 38-44, Esgueira, 3800-276 Aveiro</t>
  </si>
  <si>
    <t>https://www.bomcondutor.pt/escolas/escola/planeta; https://escola-de-conducao.pt/escola-de-conducao-planeta-306689.html (rating Google via snapshot escola-de-conducao.pt); https://passaprimeira.xyz/en/districts-regions/aveiro/municipalities/aveiro/schools/</t>
  </si>
  <si>
    <t>Rossio ao Sul do Tejo</t>
  </si>
  <si>
    <t>Escola de Condução Rossio (Rossio ao Sul do Tejo)</t>
  </si>
  <si>
    <t>241 333 286</t>
  </si>
  <si>
    <t>https://www.facebook.com/escolaconducao.rossio/</t>
  </si>
  <si>
    <t>Seg-Sex 10:00-20:00; fechado sábado e domingo (segundo diretório Cylex)</t>
  </si>
  <si>
    <t>A (motociclos), B (ligeiros)</t>
  </si>
  <si>
    <t>Escola pequena (22 provas em 2021 como 'Rossio-Abrantes'); Facebook com 586 seguidores; fechada ao sábado</t>
  </si>
  <si>
    <t>Rua General Godinho, 19 R/C, Rossio ao Sul do Tejo, 2205-050 Abrantes</t>
  </si>
  <si>
    <t>https://www.facebook.com/escolaconducao.rossio/; https://www.bomcondutor.pt/escolas/escola/rossio; https://www.autonews.pt/escolas-de-conducao/dir/d/santarem/c/abrantes/p-2980/escola-de-conducao-rossio/; https://www.cylex.pt/abrantes/escola-de-condu%C3%A7%C3%A3o-rossio-ao-sul-do-tejo-147341.html; https://www.imt-ip.pt/wp-content/uploads/2025/01/EscolasdeConducao-2021.pdf</t>
  </si>
  <si>
    <t>Paião</t>
  </si>
  <si>
    <t>Escola de Condução Paionense</t>
  </si>
  <si>
    <t>233 940 190</t>
  </si>
  <si>
    <t>Escola pequena de freguesia; confirmar atividade</t>
  </si>
  <si>
    <t>Rua dos Santinhos, 44-A, 3090-495 Paião</t>
  </si>
  <si>
    <t>https://www.andardemoto.pt/escolas-de-conducao/dir/d/coimbra/c/figueira-da-foz/p-3318/paionense/; https://portalnacional.com.pt/coimbra/empresas/ensino/escolas-de-conducao/2/; https://www.imt-ip.pt/wp-content/uploads/2025/01/EscolasdeConducao-2021.pdf</t>
  </si>
  <si>
    <t>Ovar</t>
  </si>
  <si>
    <t>Escola de Condução Júlio Dinis</t>
  </si>
  <si>
    <t>256 588 491; 256 588 492; 256 588 493</t>
  </si>
  <si>
    <t>968 426 320</t>
  </si>
  <si>
    <t>escolajuliodinis@hotmail.com</t>
  </si>
  <si>
    <t>https://www.facebook.com/conducaojuliodinis/</t>
  </si>
  <si>
    <t>Seg-Sex 09:00–19:00; Sáb 10:00–12:00 — ABERTO ao sábado de manhã</t>
  </si>
  <si>
    <t>"Fui a exame de código sem o acompanhamento de ninguém por parte da escola, super desiludido" (Google, 1★, 01/2021) https://escola-de-conducao.pt/escola-de-conducao-julio-dinis-lda-307197.html</t>
  </si>
  <si>
    <t>Sinal de dor organizacional (falta de acompanhamento/comunicação); 143 exames 2021</t>
  </si>
  <si>
    <t>Rua Dr. Albino Borges de Pinho, Nº 84 r/c, 3880-276 Ovar</t>
  </si>
  <si>
    <t>https://passaprimeira.xyz/en/districts-regions/aveiro/municipalities/ovar/schools/; https://www.bomcondutor.pt/escolas/escola/julio-dinis; https://www.facebook.com/conducaojuliodinis/; https://escola-de-conducao.pt/escola-de-conducao-julio-dinis-lda-307197.html; https://www.amarelas.pt/c/ovar-escola-de-conducao-julio-dinis-lda-20817</t>
  </si>
  <si>
    <t>Vale de Açores</t>
  </si>
  <si>
    <t>Escola de Condução Juíz de Fora / Prestígio (ex-Auto Correia)</t>
  </si>
  <si>
    <t>231922263; 231920880</t>
  </si>
  <si>
    <t>Seg-Sex 9h-19h; Sáb 9h-10h30 (Google, Juíz de Fora)</t>
  </si>
  <si>
    <t>Alvará IMT 792 'Juíz de Fora'; 'Prestígio' e 'Auto Correia' partilham a morada/telefone – provavelmente a mesma escola. IMT registou pedido de mudança para R. Dr. José Assis e Santos 89 (2019) – confirmar</t>
  </si>
  <si>
    <t>Av. Infante D. Henrique 61-B, Vale de Açores, 3450-202 Mortágua</t>
  </si>
  <si>
    <t>https://passaprimeira.xyz/distritos-regioes/viseu/concelhos/mortagua/escolas/juiz-de-fora-00792/; https://escola-de-conducao.pt/escola-de-conducao-juiz-de-fora-306815.html; https://escola-de-conducao.pt/escola-de-conducao-prestigio-lda-306300.html; https://www.autonews.pt/escolas-de-conducao/dir/d/viseu/c/mortagua/p-2940/escola-de-conducao-prestigio/; https://www.imt-ip.pt/wp-content/uploads/2025/05/Mudanca-Instalacoes_05-05-2025.pdf</t>
  </si>
  <si>
    <t>Chainça</t>
  </si>
  <si>
    <t>Debatintenso Ensino e Formação, Lda</t>
  </si>
  <si>
    <t>Entidade de ensino de condução listada em diretório recente; não sabemos com que marca comercial opera (pode ser a empresa por trás de outra escola da lista), por isso é preciso confirmar</t>
  </si>
  <si>
    <t>Avenida da Escola Nova, Lote 2, Chainça, Abrantes</t>
  </si>
  <si>
    <t>https://escolasconducao.com/escola/debatintenso-ensino-e-formacao-lda</t>
  </si>
  <si>
    <t>Escola de Condução A Fazendense</t>
  </si>
  <si>
    <t>243 599 557</t>
  </si>
  <si>
    <t>Escola pequena independente; atividade atual não verificada</t>
  </si>
  <si>
    <t>Rua João de Deus, 2080-576 Fazendas de Almeirim</t>
  </si>
  <si>
    <t>https://www.andardemoto.pt/escolas-de-conducao/dir/d/santarem/c/almeirim/; https://www.testesdecodigogratis.com/escola-de-conducao/a-fazendense/</t>
  </si>
  <si>
    <t>Escola de Condução Cortes de Almeirim</t>
  </si>
  <si>
    <t>243 592 424</t>
  </si>
  <si>
    <t>Escola pequena; atividade atual não verificada</t>
  </si>
  <si>
    <t>Rua Doutor João César Henriques nº 34, 2080-126 Almeirim</t>
  </si>
  <si>
    <t>https://www.testesdecodigogratis.com/escola-de-conducao/cortes-de-almeirim/; https://www.bomcondutor.pt/escolas/lista/Santar%C3%A9m/Almeirim</t>
  </si>
  <si>
    <t>Golegã</t>
  </si>
  <si>
    <t>Escola de Condução Goleganense</t>
  </si>
  <si>
    <t>249 976 251</t>
  </si>
  <si>
    <t>Única escola na Golegã; sem dados de dor/volume</t>
  </si>
  <si>
    <t>Rua D. Afonso Henriques nº 151, 2150-167 Golegã</t>
  </si>
  <si>
    <t>https://www.andardemoto.pt/escolas-de-conducao/dir/d/santarem/c/golega/; https://www.testesdecodigogratis.com/escola-de-conducao/goleganense/</t>
  </si>
  <si>
    <t>Alcanede</t>
  </si>
  <si>
    <t>Escola de Condução Ideal Alcanedense</t>
  </si>
  <si>
    <t>243 400 732</t>
  </si>
  <si>
    <t>https://www.facebook.com/ecia.idealalcanedense</t>
  </si>
  <si>
    <t>Escola rural pequena; sem dados de dor</t>
  </si>
  <si>
    <t>Rua do Comércio 9-A, 2025-040 Alcanede</t>
  </si>
  <si>
    <t>https://www.andardemoto.pt/escolas-de-conducao/dir/d/santarem/c/santarem/p-2738/escola-de-conducao-ideal-alcanedense/; https://www.testesdecodigogratis.com/escola-de-conducao/alcanedense/; https://www.bomcondutor.pt/escolas/lista/Santar%C3%A9m/Santar%C3%A9m</t>
  </si>
  <si>
    <t>Escola de Condução José Relvas</t>
  </si>
  <si>
    <t>243 556 044</t>
  </si>
  <si>
    <t>Só em diretórios antigos; atividade atual não verificada</t>
  </si>
  <si>
    <t>Rua Guilherme Nunes Godinho nº 372, Loja 3, 2090-102 Alpiarça</t>
  </si>
  <si>
    <t>https://www.testesdecodigogratis.com/escola-de-conducao/jose-relvas/; https://www.bomcondutor.pt/escolas/lista/Santar%C3%A9m/Alpiar%C3%A7a</t>
  </si>
  <si>
    <t>Escola de Condução Nossa Senhora da Oliveira</t>
  </si>
  <si>
    <t>263 622 579 / 263 655 579 (os diretórios divergem)</t>
  </si>
  <si>
    <t>Sem presença digital encontrada; não foi possível associá-la com segurança a uma entrada do IMT 2021</t>
  </si>
  <si>
    <t>Avenida O Século, Lote 90, 1º Esq, 2135-231 Samora Correia</t>
  </si>
  <si>
    <t>https://www.bomcondutor.pt/escolas/escola/nossa-senhora-da-oliveira; https://www.autonews.pt/escolas-de-conducao/dir/d/santarem/c/benavente/p-2877/escola-de-conducao-nossa-senhora-oliveira/</t>
  </si>
  <si>
    <t>Asseiceira (Rio Maior)</t>
  </si>
  <si>
    <t>Escola de Condução Nova Asseiceira</t>
  </si>
  <si>
    <t>243 908 334</t>
  </si>
  <si>
    <t>ecnovaasseiceira@hotmail.com</t>
  </si>
  <si>
    <t>IMT 2021 tem 'EC Nova Asseiceira' com 823 provas (não preenchido: existe também Asseiceira em Tomar — confirmar se é esta); se confirmado, seria grande volume → A</t>
  </si>
  <si>
    <t>Rua do Norte nº 9, Asseiceira, 2040-481 Rio Maior</t>
  </si>
  <si>
    <t>https://www.andardemoto.pt/escolas-de-conducao/dir/d/santarem/c/rio-maior/; https://www.imt-ip.pt/wp-content/uploads/2025/01/EscolasdeConducao-2021.pdf</t>
  </si>
  <si>
    <t>Escola de Condução Porto Alto (Escola de Condução Fenomenal, Lda.)</t>
  </si>
  <si>
    <t>249 728 111</t>
  </si>
  <si>
    <t>915 904 710</t>
  </si>
  <si>
    <t>http://escolaportoalto.com/ (domínio inativo)</t>
  </si>
  <si>
    <t>Seg-Sex 10:00-12:30 e 15:00-19:00; Sábado 10:00-12:30 (ABERTO sábado)</t>
  </si>
  <si>
    <t>Empresa ativa (contas até 2024); pouca presença online. O IMT 2021 tem 'Porto Alto' (683) mas pode ser uma escola homónima (Porto Alto/Benavente) - não atribuído.</t>
  </si>
  <si>
    <t>Rua Fernando Pessoa, 16 - Cave Dto., 2330-156 Entroncamento</t>
  </si>
  <si>
    <t>https://escola-de-conducao.pt/porto-alto-306711.html; https://www.racius.com/escola-de-conducao-fenomenal-lda/; https://www.testesdecodigogratis.com/escola-de-conducao/porto-alto/; https://www.andardemoto.pt/escolas-de-conducao/dir/d/santarem/c/entroncamento/p-2692/escola-de-conducao-fenomenal/</t>
  </si>
  <si>
    <t>Carregueira</t>
  </si>
  <si>
    <t>Escola de Condução Rodrigues</t>
  </si>
  <si>
    <t>249 740 247</t>
  </si>
  <si>
    <t>Só em diretório antigo; atividade não verificada</t>
  </si>
  <si>
    <t>Rua 25 de Abril, 2140 Carregueira</t>
  </si>
  <si>
    <t>https://www.andardemoto.pt/escolas-de-conducao/dir/d/santarem/c/chamusca/</t>
  </si>
  <si>
    <t>Escola de Condução Soninha</t>
  </si>
  <si>
    <t>933 378 710</t>
  </si>
  <si>
    <t>Seg-Sex 10:00-13:00 e 15:00-20:00; Sábado 09:00-13:00 (ABERTO SÁBADO)</t>
  </si>
  <si>
    <t>Escola pequena; poucos dados</t>
  </si>
  <si>
    <t>Largo General Guerra nº 40, 2080-001 Almeirim</t>
  </si>
  <si>
    <t>https://escola-de-conducao.pt/escola-de-conducao-soninha-306758.html</t>
  </si>
  <si>
    <t>Escola de Condução São Bartolomeu</t>
  </si>
  <si>
    <t>241 572 281</t>
  </si>
  <si>
    <t>Sem presença digital encontrada. O relatório IMT 2021 tem duas escolas 'S Bartolomeu' (294 e 32 provas) e não é possível saber qual é esta (há outra em Vimioso)</t>
  </si>
  <si>
    <t>Rua Ten. Cor. Francisco Pedro Curado, 1, R/C, 6120-755 Mação</t>
  </si>
  <si>
    <t>https://www.autonews.pt/escolas-de-conducao/dir/d/santarem/c/macao/p-3006/escola-de-conducao-sao-bartolomeu/</t>
  </si>
  <si>
    <t>Riachos / Torres Novas (São Pedro)</t>
  </si>
  <si>
    <t>Escola de Condução São Bernardo, Lda.</t>
  </si>
  <si>
    <t>249 820 822</t>
  </si>
  <si>
    <t>https://www.facebook.com/pages/Escola-de-Condução-São-Bernardo/181455851894411</t>
  </si>
  <si>
    <t>Sem sinais de dor nem de tecnologia. A empresa esteve sediada em Vila Nova da Barquinha (Rua da Misericórdia, 8) - verificar se mantém polo lá. O IMT 2021 tem duas entradas 'São Bernardo' (231 e 24) - não atribuídas.</t>
  </si>
  <si>
    <t>Rua Dr. José Marques, Lote 8, R/C Dto., Urb. da Arrábida, 2350-565 Torres Novas</t>
  </si>
  <si>
    <t>https://escola-de-conducao.pt/escola-de-conducao-sao-bernardo-lda-306643.html; https://www.racius.com/escola-de-conducao-sao-bernardo-lda/; https://www.testesdecodigogratis.com/escola-de-conducao/sao-bernardo/; https://www.andardemoto.pt/escolas-de-conducao/dir/d/santarem/c/torres-novas/p-3007/escola-de-conducao-sao-bernardo/</t>
  </si>
  <si>
    <t>Constância</t>
  </si>
  <si>
    <t>Escola de Condução Zêzere</t>
  </si>
  <si>
    <t>249 736 721</t>
  </si>
  <si>
    <t>A única escola encontrada no concelho; não aparece com este nome no relatório IMT 2021 (pode corresponder a 'NovaZêzere', 113 provas, mas não foi confirmado); convém confirmar se está ativa</t>
  </si>
  <si>
    <t>Rua Principal, N.º 39, 2250-371 Constância</t>
  </si>
  <si>
    <t>https://www.bomcondutor.pt/escolas/escola/zezere</t>
  </si>
  <si>
    <t>Marinhais</t>
  </si>
  <si>
    <t>Escola de Condução de Salvaterra de Magos</t>
  </si>
  <si>
    <t>263 595 580</t>
  </si>
  <si>
    <t>Sem presença digital encontrada. O valor 'Salvaterra' de 494 provas no IMT 2021 pode pertencer a uma escola homónima em Santa Iria de Azóia, por isso não foi atribuído</t>
  </si>
  <si>
    <t>Estrada Nacional 367, 2125-120 Marinhais</t>
  </si>
  <si>
    <t>https://www.bomcondutor.pt/escolas/escola/salvaterra-de-magos; https://www.autonews.pt/escolas-de-conducao/dir/d/santarem/c/salvaterra-de-magos/p-2617/escola-de-conducao-de-salvaterra-de-magos/</t>
  </si>
  <si>
    <t>Escola de Condução Academia ACosta</t>
  </si>
  <si>
    <t>233 424 044</t>
  </si>
  <si>
    <t>964 023 055</t>
  </si>
  <si>
    <t>Presencial (não dão preços por telefone)</t>
  </si>
  <si>
    <t>Seg-Sex 09:30-13:00 / 14:30-19:00; Sábado 09:30-13:00 (aberto ao sábado)</t>
  </si>
  <si>
    <t>'Telefonei para tentar saber preços, não me informaram sob a justificação de só me poderem informar presencialmente' (https://escola-de-conducao.pt/escola-de-conducao-academia-acosta-305929.html)</t>
  </si>
  <si>
    <t>Volume desconhecido, processo muito presencial; sinais de dor sobre atendimento (não sobre marcação)</t>
  </si>
  <si>
    <t>Rua de Coimbra, 14, 3080-046 Figueira da Foz</t>
  </si>
  <si>
    <t>https://escola-de-conducao.pt/escola-de-conducao-academia-acosta-305929.html; https://escola-de-conducao.pt/academia-acosta-escola-de-conducao-306205.html; https://portalnacional.com.pt/coimbra/empresas/ensino/escolas-de-conducao/3/</t>
  </si>
  <si>
    <t>Miranda do Corvo</t>
  </si>
  <si>
    <t>Escola de Condução Mirandense</t>
  </si>
  <si>
    <t>239 532 277</t>
  </si>
  <si>
    <t>Seg-Sex 08:30-13:00 / 14:00-20:00; Sábado 08:30-13:00 (aberto ao sábado)</t>
  </si>
  <si>
    <t>Escola pequena (117 provas 2021)</t>
  </si>
  <si>
    <t>Rua 25 de Abril, 43 (Rua do Centro, 37), 3220-185 Miranda do Corvo</t>
  </si>
  <si>
    <t>https://escola-de-conducao.pt/escola-de-conducao-mirandense-305939.html; https://www.bomcondutor.pt/escolas/escola/mirandense; https://www.imt-ip.pt/wp-content/uploads/2025/01/EscolasdeConducao-2021.pdf</t>
  </si>
  <si>
    <t>Alhadas</t>
  </si>
  <si>
    <t>Escola de Condução Sentido Único</t>
  </si>
  <si>
    <t>233 939 228</t>
  </si>
  <si>
    <t>https://www.facebook.com/ecsentidounico</t>
  </si>
  <si>
    <t>Escola pequena de freguesia</t>
  </si>
  <si>
    <t>Rua de Santo Amaro, 7, R/C, Alhadas de Baixo, 3090-401 Figueira da Foz</t>
  </si>
  <si>
    <t>https://escola-de-conducao.pt/escola-de-conducao-sentido-unico-lda-306201.html; https://www.bomcondutor.pt/escolas/escola/sentido-unico; https://www.imt-ip.pt/wp-content/uploads/2025/01/EscolasdeConducao-2021.pdf</t>
  </si>
  <si>
    <t>Siiimple Tunas - Escola de Condução (morada da antiga EC Príncipe das Beiras / MundoDriver)</t>
  </si>
  <si>
    <t>239 481 410</t>
  </si>
  <si>
    <t>914 767 890 (MundoDriver)</t>
  </si>
  <si>
    <t>https://www.facebook.com/MUNDOdriver-101330088241898 (MundoDriver)</t>
  </si>
  <si>
    <t>1 (Siiimple Tunas) / 3 (MundoDriver)</t>
  </si>
  <si>
    <t>MundoDriver: Seg-Sex 09:00-19:00; Sábado encerrado</t>
  </si>
  <si>
    <t>'Muito, mas mesmo muito mau' (https://escola-de-conducao.pt/siiimple-tunas-escola-de-conducao-307519.html); 'Esta escola conseguiu com sucesso ajudar-me a chumbar 5x' (https://escola-de-conducao.pt/escola-de-conducao-mundodriver-306019.html)</t>
  </si>
  <si>
    <t>Três nomes na mesma morada (Príncipe das Beiras, MundoDriver, Siiimple Tunas) — confirmar qual opera hoje antes de visitar</t>
  </si>
  <si>
    <t>Rua Bernardo de Albuquerque, 25, R/C, 3000-072 Coimbra</t>
  </si>
  <si>
    <t>https://escola-de-conducao.pt/siiimple-tunas-escola-de-conducao-307519.html; https://escola-de-conducao.pt/escola-de-conducao-mundodriver-306019.html; https://www.andardemoto.pt/escolas-de-conducao/dir/d/coimbra/c/coimbra/p-2942/escola-de-conducao-principe-das-beiras/</t>
  </si>
  <si>
    <t>Escola de Condução Ovarense</t>
  </si>
  <si>
    <t>256 572 292</t>
  </si>
  <si>
    <t>Volume médio-alto (248 exames 2021) mas sem presença online encontrada; sem sinais de dor</t>
  </si>
  <si>
    <t>Rotunda/Praça de São Cristóvão, Nº 179 - 1º Dtº, 3880-070 Ovar</t>
  </si>
  <si>
    <t>https://passaprimeira.xyz/en/districts-regions/aveiro/municipalities/ovar/schools/; https://www.bomcondutor.pt/escolas/escola/ovarense; https://www.andardemoto.pt/escolas-de-conducao/dir/d/aveiro/c/ovar/p-2377/escola-conducao-ovarense/</t>
  </si>
  <si>
    <t>Escola de Condução da Tocha</t>
  </si>
  <si>
    <t>231 443 936</t>
  </si>
  <si>
    <t>www.ectocha.com (403/sem resposta)</t>
  </si>
  <si>
    <t>Seg-Sex 08:00-18:00; Sábado encerrado</t>
  </si>
  <si>
    <t>Escola pequena (104 provas 2021)</t>
  </si>
  <si>
    <t>Av. D. João Garcia Bacelar, 3060-704 Tocha</t>
  </si>
  <si>
    <t>https://escola-de-conducao.pt/escola-de-conducao-da-tocha-lda-306982.html; https://www.andardemoto.pt/escolas-de-conducao/dir/d/coimbra/c/cantanhede/p-2388/escola-de-conducao-da-tocha/; https://www.imt-ip.pt/wp-content/uploads/2025/01/EscolasdeConducao-2021.pdf</t>
  </si>
  <si>
    <t>Escola de Condução A Ideal de Ovar</t>
  </si>
  <si>
    <t>256 573 890</t>
  </si>
  <si>
    <t>geral@idealdeovar.com</t>
  </si>
  <si>
    <t>idealdeovar.com (domínio não resolve em 10/2026)</t>
  </si>
  <si>
    <t>https://www.facebook.com/idealdeovar/</t>
  </si>
  <si>
    <t>Seg-Sex 09:00–20:00; Sáb 09:00–12:00 — ABERTO ao sábado de manhã</t>
  </si>
  <si>
    <t>"Após a minha reclamação no Facebook, recebo uma ligação... maltratam um ex cliente... a escola é horrível a ensinar" (Google, 1★, 01/2024) https://escola-de-conducao.pt/escola-de-conducao-a-ideal-de-ovar-306622.html</t>
  </si>
  <si>
    <t>Facebook muito ativo (1.8k seguidores, 155 a falar, 419 check-ins) + reclamação recente; website em baixo</t>
  </si>
  <si>
    <t>Rua Luís de Camões, 11-13, 3880-240 Ovar</t>
  </si>
  <si>
    <t>https://passaprimeira.xyz/en/districts-regions/aveiro/municipalities/ovar/schools/; https://www.bomcondutor.pt/escolas/escola/ideal-de-ovar; https://www.facebook.com/idealdeovar/; https://escola-de-conducao.pt/escola-de-conducao-a-ideal-de-ovar-306622.html; https://www.andardemoto.pt/escolas-de-conducao/dir/d/aveiro/c/ovar/p-2398/escola-de-conducao-a-ideal-de-ovar/</t>
  </si>
  <si>
    <t>Esmoriz</t>
  </si>
  <si>
    <t>Escola de Condução Maré (Marques &amp; Rodrigues, Lda.)</t>
  </si>
  <si>
    <t>256 386 592</t>
  </si>
  <si>
    <t>https://www.facebook.com/escola.conducao.mare/</t>
  </si>
  <si>
    <t>Seg-Sex 09:00–20:00; Sáb 09:00–13:00 — ABERTO ao sábado de manhã</t>
  </si>
  <si>
    <t>Volume relevante (206 exames 2021, 79% aprovação) e posicionamento 'jovem, dinâmica, moderna' (FB 1.8k seguidores) — abertura a tecnologia</t>
  </si>
  <si>
    <t>Rua da Estrada Nova, Nº 1280, Edifício Marcus III, Fr. B, 3885-401 Esmoriz</t>
  </si>
  <si>
    <t>https://passaprimeira.xyz/en/districts-regions/aveiro/municipalities/ovar/schools/; https://escola-de-conducao.pt/escola-de-conducao-mare-307324.html; https://escola-de-conducao.pt/marques-rodrigues-lda-307984.html; https://www.facebook.com/escola.conducao.mare/; https://www.andardemoto.pt/escolas-de-conducao/dir/d/aveiro/c/ovar/p-2402/mare/</t>
  </si>
  <si>
    <t>Escola de Condução Grand Tour (ex-AMC, alvará 900)</t>
  </si>
  <si>
    <t>232283396</t>
  </si>
  <si>
    <t>geral@ecgrandtour.pt</t>
  </si>
  <si>
    <t>http://www.ecgrandtour.pt/</t>
  </si>
  <si>
    <t>https://www.facebook.com/p/ESCOLA-DE-CONDU%C3%87%C3%83O-GRAND-TOUR-100054406724561/</t>
  </si>
  <si>
    <t>Pré-inscrição online; sem marcação online de aulas</t>
  </si>
  <si>
    <t>Seg-Sex 9h-19h; Sáb 9h-13h</t>
  </si>
  <si>
    <t>Abertura à tecnologia: site novo feito à medida (2024+), Facebook ativo (~1.440 seguidores, 21 a falar disto); volume médio (296)</t>
  </si>
  <si>
    <t>Website novo (React + Supabase) com pré-inscrição e acesso só para administradores; sem área do aluno nem marcação; site refere '2024: Modernização digital' – http://www.ecgrandtour.pt/</t>
  </si>
  <si>
    <t>Av. dos Bombeiros Voluntários 156/172, Edf. Avenida Fração D, 3460-572 Tondela</t>
  </si>
  <si>
    <t>http://www.ecgrandtour.pt/; https://escola-de-conducao.pt/escola-de-conducao-grand-tour-305798.html; https://passaprimeira.xyz/distritos-regioes/viseu/concelhos/tondela/escolas/grand-tour-00900/; https://www.facebook.com/p/ESCOLA-DE-CONDU%C3%87%C3%83O-GRAND-TOUR-100054406724561/</t>
  </si>
  <si>
    <t>Escola de Condução Covilhanense</t>
  </si>
  <si>
    <t>275322896</t>
  </si>
  <si>
    <t>https://www.facebook.com/covilhanense.escoladeconducao/</t>
  </si>
  <si>
    <t>Volume médio-alto, bem avaliada, sem sinais de dor</t>
  </si>
  <si>
    <t>Listada em educacao-rodoviaria.pt (fornecedor de materiais/Winteste), não é software de gestão</t>
  </si>
  <si>
    <t>Rua Marquês d'Ávila e Bolama, Lote 5, Nº 357 R/C Dto, 6200-053 Covilhã</t>
  </si>
  <si>
    <t>https://escola-de-conducao.pt/escola-de-conducao-covilhanense-lda-305806.html; https://passaprimeira.xyz/distritos-regioes/castelo-branco/concelhos/covilha/escolas/covilhanense-00230/; https://escolasconducao.com/escola/escola-de-conducao-covilhanense-lda; https://www.andardemoto.pt/escolas-de-conducao/dir/d/castelo-branco/c/covilha/p-2270/covilhanense/</t>
  </si>
  <si>
    <t>São Martinho do Bispo</t>
  </si>
  <si>
    <t>Escola de Condução de São Martinho do Bispo</t>
  </si>
  <si>
    <t>239 811 423; 239 091 209</t>
  </si>
  <si>
    <t>Seg-Sex 10:00-13:00 / 15:00-19:00; Sábado encerrado</t>
  </si>
  <si>
    <t>Pequena (IMT 2021 'S Martinho do Bispo': 15 provas — correspondência incerta), pouca presença digital</t>
  </si>
  <si>
    <t>Av. Nova (Av. Jorge Lemos), 67-B, 3045-232 Coimbra</t>
  </si>
  <si>
    <t>https://escola-de-conducao.pt/escola-de-conducao-de-sao-martinho-bispo-305919.html; https://www.andardemoto.pt/escolas-de-conducao/dir/d/coimbra/c/coimbra/p-2623/escola-de-conducao-de-sao-martinho-bispo/; https://portalnacional.com.pt/coimbra/empresas/ensino/escolas-de-conducao/2/; https://www.imt-ip.pt/wp-content/uploads/2025/01/EscolasdeConducao-2021.pdf</t>
  </si>
  <si>
    <t>Marzovelos</t>
  </si>
  <si>
    <t>Escola de Condução Conduir</t>
  </si>
  <si>
    <t>https://conduirviseu.wixsite.com/escola-de-conducao</t>
  </si>
  <si>
    <t>https://www.facebook.com/e.c.conduirfrb/</t>
  </si>
  <si>
    <t>https://www.instagram.com/e.c.conduirfrb/</t>
  </si>
  <si>
    <t>Nenhum visível (site Wix com formulário de contacto)</t>
  </si>
  <si>
    <t>Formulário de contacto no site / telefone</t>
  </si>
  <si>
    <t>Seg-Sex 9h-12h, 14h-19h; Sáb 10h-12h</t>
  </si>
  <si>
    <t>Volume médio-baixo (273 provas 2021); FB com 1848 seguidores mas pouca atividade recente (1 a falar); sem sinais de dor. Telefone não encontrado em fonte verificável.</t>
  </si>
  <si>
    <t>Rua dos Deficientes das Forças Armadas, nº 10, Marzovelos, 3510-587 Viseu</t>
  </si>
  <si>
    <t>https://conduirviseu.wixsite.com/escola-de-conducao; https://www.facebook.com/e.c.conduirfrb/; https://www.andardemoto.pt/escolas-de-conducao/dir/d/viseu/c/viseu/p-2259/conduir/</t>
  </si>
  <si>
    <t>Escola de Condução Estrada Segura (João Amaral &amp; Filho, Lda.)</t>
  </si>
  <si>
    <t>232432844</t>
  </si>
  <si>
    <t>964373682</t>
  </si>
  <si>
    <t>ecestrada.segura@gmail.com</t>
  </si>
  <si>
    <t>http://www.ec-estradasegura.pt (HTTP 404 em 08/10/2026)</t>
  </si>
  <si>
    <t>https://www.facebook.com/p/Escola-Condu%C3%A7%C3%A3o-Estrada-Segura-100054449500995/</t>
  </si>
  <si>
    <t>Nenhum visível (site em baixo)</t>
  </si>
  <si>
    <t>Seg-Sex 9h-12h30, 14h-19h; Sáb: fechado</t>
  </si>
  <si>
    <t>Ligeiros; também formação CAM, TCC, ADR, troca/revalidação de cartas</t>
  </si>
  <si>
    <t>Volume médio-baixo (268 provas 2021), boas avaliações, sem sinais de dor; site em baixo.</t>
  </si>
  <si>
    <t>http://www.ec-estradasegura.pt (404)</t>
  </si>
  <si>
    <t>R. Estação Agrária 7A / Quinta da Carreira, Lote 7-A, 3500-175 Viseu</t>
  </si>
  <si>
    <t>https://escola-de-conducao.pt/escola-de-conducao-estrada-segura-306269.html; https://www.andardemoto.pt/escolas-de-conducao/dir/d/viseu/c/viseu/p-2673/escola-de-conducao-estrada-segura/; https://www.amarelas.pt/c/viseu-escola-de-conducao-estrada-segura-112155</t>
  </si>
  <si>
    <t>Escola de Condução Granja-Parque (Granja Park, Lda)</t>
  </si>
  <si>
    <t>272345129</t>
  </si>
  <si>
    <t>esconducao.granja-park@gmail.com</t>
  </si>
  <si>
    <t>https://www.facebook.com/escoladeconducao.granjaparque/</t>
  </si>
  <si>
    <t>Seg-Sex 10:00-12:00, 14:00-19:00; Sábado 11:00-12:00 (aberto, curto)</t>
  </si>
  <si>
    <t>Volume médio, bem avaliada, sem sinais de dor</t>
  </si>
  <si>
    <t>Site antigo granjapark.pt não resolve</t>
  </si>
  <si>
    <t>Rua Dr. Vítor Santos Pinto, Lote 131, Loja B, 6000-478 Castelo Branco</t>
  </si>
  <si>
    <t>https://escola-de-conducao.pt/escola-de-conducao-granja-parque-306723.html; https://passaprimeira.xyz/distritos-regioes/castelo-branco/concelhos/castelo-branco/escolas/granja-parque-01233/; https://escolasconducao.com/escola/escola-de-conducao-granja-park-lda; https://www.testesdecodigogratis.com/escola-de-conducao/granja-parque/</t>
  </si>
  <si>
    <t>Proença-a-Nova</t>
  </si>
  <si>
    <t>Escola de Condução de Proença-a-Nova (Carlos Dias, Lda)</t>
  </si>
  <si>
    <t>274673227</t>
  </si>
  <si>
    <t>https://www.facebook.com/EscolaDeConducaoPNova</t>
  </si>
  <si>
    <t>Volume médio, sem sinais de dor</t>
  </si>
  <si>
    <t>Rua Comendador Assis Roda, nº 59, 6150-557 Proença-a-Nova (IMT: Rua Sidónio Pais)</t>
  </si>
  <si>
    <t>https://escola-de-conducao.pt/escola-conducao-de-proenca-a-nova-306782.html; https://passaprimeira.xyz/distritos-regioes/castelo-branco/concelhos/proencaanova/escolas/proencaanova-00422/; https://escolasconducao.com/escola/escola-de-conducao-de-proenca-a-nova-carlos-dias-lda; https://www.testesdecodigogratis.com/escola-de-conducao/proenca-a-nova/</t>
  </si>
  <si>
    <t>Casal de Santo Amaro</t>
  </si>
  <si>
    <t>A Luís e Filhos Unipessoal Lda. (escola de condução — nome comercial não identificado)</t>
  </si>
  <si>
    <t>Só listada como empresa de ensino de condução; confirmar se opera</t>
  </si>
  <si>
    <t>Rua Principal, Casal de Santo Amaro, 3360-180 Penacova</t>
  </si>
  <si>
    <t>https://portalnacional.com.pt/coimbra/empresas/ensino/escolas-de-conducao/</t>
  </si>
  <si>
    <t>Escola de Condução 4Drive</t>
  </si>
  <si>
    <t>938 246 520</t>
  </si>
  <si>
    <t>https://www.facebook.com/ec4drive</t>
  </si>
  <si>
    <t>Seg-Sex 09:30-13:00 / 14:30-20:00; Sábado 09:00-13:00 (aberto ao sábado)</t>
  </si>
  <si>
    <t>Escola nova (não consta do IMT 2021) com marca moderna — provável abertura a tecnologia</t>
  </si>
  <si>
    <t>Quinta de S. Mateus, Av. Comandante Xavier Gomes Gama, 3A R/C, Fração B, 3060-209 Cantanhede</t>
  </si>
  <si>
    <t>https://escola-de-conducao.pt/escola-de-conducao-4drive-306665.html</t>
  </si>
  <si>
    <t>Escola de Condução Irmãos Gonçalves</t>
  </si>
  <si>
    <t>969 392 939; 962 756 281</t>
  </si>
  <si>
    <t>ecirmaosgoncalves@gmail.com</t>
  </si>
  <si>
    <t>https://www.irmaosgoncalves.pt/</t>
  </si>
  <si>
    <t>https://www.facebook.com/ecirmaosgoncalves</t>
  </si>
  <si>
    <t>https://www.instagram.com/ecirmaosgoncalves</t>
  </si>
  <si>
    <t>Moodle (e-learning próprio)</t>
  </si>
  <si>
    <t>WhatsApp/telefone; inscrição por formulário Google</t>
  </si>
  <si>
    <t>Seg-Sex 09:00-12:00 / 14:00-19:30; Sábado 09:00-12:30 (aberto ao sábado)</t>
  </si>
  <si>
    <t>A, A1, A2, B, C, CE, D, T; CAM, TVDE, ADR, Táxi</t>
  </si>
  <si>
    <t>Muito ativa digitalmente (site moderno, Instagram, Moodle próprio, WhatsApp) — forte abertura a tecnologia; sem app de marcação; atrai alunos de fora ('carta em 1 mês')</t>
  </si>
  <si>
    <t>moodle.irmaosgoncalves.pt ligado no site; inscrição via Google Forms; links wa.me</t>
  </si>
  <si>
    <t>Rua José dos Santos Gonçalves, Edifício Santo António, loja 18 C, 3420-330 Tábua</t>
  </si>
  <si>
    <t>https://www.irmaosgoncalves.pt/; https://escola-de-conducao.pt/escola-de-conducao-irmaos-goncalves-305803.html; https://www.andardemoto.pt/escolas-de-conducao/dir/d/coimbra/c/tabua/p-38187/escola-de-conducao-irmaos-goncalves/</t>
  </si>
  <si>
    <t>Escola de Condução O Reitor</t>
  </si>
  <si>
    <t>910 671 723</t>
  </si>
  <si>
    <t>Escola recente/pequena, poucos dados</t>
  </si>
  <si>
    <t>Rua Vitorino Planas, 171, 3040-275 Coimbra</t>
  </si>
  <si>
    <t>https://escola-de-conducao.pt/escola-de-conducao-o-reitor-306564.html</t>
  </si>
  <si>
    <t>Pampilhosa da Serra</t>
  </si>
  <si>
    <t>Escola de Condução Pampilhosa</t>
  </si>
  <si>
    <t>231 948 074</t>
  </si>
  <si>
    <t>Escola muito pequena/isolada; confirmar atividade</t>
  </si>
  <si>
    <t>Rua da República, Edifício Pires Faria, 17, 3050-428 Pampilhosa da Serra</t>
  </si>
  <si>
    <t>https://www.bomcondutor.pt/escolas/escola/pampilhosa</t>
  </si>
  <si>
    <t>Pais &amp; Pita Lda. (escola de condução — nome comercial não identificado)</t>
  </si>
  <si>
    <t>Só listada como empresa de ensino de condução; poderá ser a escola de Mira da 'rede' Penelense (2012) — confirmar</t>
  </si>
  <si>
    <t>Rua Dr. António José de Almeida, 190, 3070-399 Mira</t>
  </si>
  <si>
    <t>https://portalnacional.com.pt/coimbra/empresas/ensino/escolas-de-conducao/3/; https://escpenela.blogspot.com/</t>
  </si>
  <si>
    <t>Vagos</t>
  </si>
  <si>
    <t>Santo António de Vagos (Quintã)</t>
  </si>
  <si>
    <t>Escola de Condução Moliceiro</t>
  </si>
  <si>
    <t>234 420 446</t>
  </si>
  <si>
    <t>ecmoliceiro@hotmail.com</t>
  </si>
  <si>
    <t>https://ecmoliceiro.wixsite.com/ecmoliceiro</t>
  </si>
  <si>
    <t>Maior escola de Vagos; independente; site básico; sem dor visível</t>
  </si>
  <si>
    <t>Site Wix gratuito com menu 'Inscrições'; sem área do aluno</t>
  </si>
  <si>
    <t>Rua D. António Santos, n.º 48, Quintã, 3840-507 Santo António de Vagos</t>
  </si>
  <si>
    <t>https://ecmoliceiro.wixsite.com/ecmoliceiro; https://transitoagora.pt/escolas-conducao/aveiro; https://passaprimeira.xyz/en/districts-regions/aveiro/municipalities/vagos/schools/; https://www.andardemoto.pt/escolas-de-conducao/dir/d/aveiro/c/vagos/p-3268/moliceiro/</t>
  </si>
  <si>
    <t>Escola de Condução Nova de Albergaria</t>
  </si>
  <si>
    <t>918 685 489</t>
  </si>
  <si>
    <t>https://www.facebook.com/ecnovaalbergaria/</t>
  </si>
  <si>
    <t>Seg-Sex 09:00–12:00 15:00–19:30; Sáb 09:00–13:00 — ABERTO ao sábado de manhã</t>
  </si>
  <si>
    <t>Escola média (124 exames 2021) com Facebook ativo (999 seguidores, 205 check-ins); sem sinais de dor</t>
  </si>
  <si>
    <t>Rua Comendador Augusto Martins Pereira, 65 r/c, 3850-089 Albergaria-a-Velha</t>
  </si>
  <si>
    <t>https://passaprimeira.xyz/en/districts-regions/aveiro/municipalities/albergaria-a-velha/schools/; https://escola-de-conducao.pt/escola-de-conducao-nova-de-albergaria-a-velha-306456.html; https://www.facebook.com/ecnovaalbergaria/</t>
  </si>
  <si>
    <t>Escola de Condução Santa Margarida</t>
  </si>
  <si>
    <t>234 322 121; 234 325 908</t>
  </si>
  <si>
    <t>geral@ecsm.pt</t>
  </si>
  <si>
    <t>http://www.ecsm.pt/</t>
  </si>
  <si>
    <t>https://www.facebook.com/wwwmariagraca/</t>
  </si>
  <si>
    <t>Seg-Sex 09:00-12:00 e 14:00-20:00; Sábado 10:00-12:00 (aberto ao sábado de manhã)</t>
  </si>
  <si>
    <t>Escola independente bem avaliada (92% aprovação 2021); site desatualizado; sem dor visível</t>
  </si>
  <si>
    <t>Site estático antigo (.htm), sem área do aluno</t>
  </si>
  <si>
    <t>Rua Dr. Celestino Gomes, 32-B (Largo do Mercado), 3830-187 Ílhavo</t>
  </si>
  <si>
    <t>http://www.ecsm.pt/contactos.htm; https://www.bomcondutor.pt/escolas/escola/santa-margarida; https://escola-de-conducao.pt/escola-de-conducao-santa-margarida-306595.html (rating Google via snapshot escola-de-conducao.pt); https://passaprimeira.xyz/en/districts-regions/aveiro/municipalities/ilhavo/schools/</t>
  </si>
  <si>
    <t>Escola de Condução Sinal Vertical</t>
  </si>
  <si>
    <t>234 341 765</t>
  </si>
  <si>
    <t>https://www.facebook.com/Escola-de-Condu%C3%A7%C3%A3o-Sinal-Vertical-1079149928780461</t>
  </si>
  <si>
    <t>Escola independente pequena/média; sem dados de reviews nem software</t>
  </si>
  <si>
    <t>Rua/Travessa Cónego Maio, Bloco 2, n.º 8 R/C, 3810-089 Aveiro</t>
  </si>
  <si>
    <t>https://www.bomcondutor.pt/escolas/escola/sinal-vertical; https://www.andardemoto.pt/escolas-de-conducao/dir/d/aveiro/c/aveiro/p-3462/sinalvertical-ensino-de-conducao-automovel/; https://passaprimeira.xyz/en/districts-regions/aveiro/municipalities/aveiro/schools/</t>
  </si>
  <si>
    <t>Escola de Condução Novo Rumo (Dinis Mateus Unip.)</t>
  </si>
  <si>
    <t>232888175</t>
  </si>
  <si>
    <t>963236566</t>
  </si>
  <si>
    <t>http://www.ecnovorumo.pt (em baixo)</t>
  </si>
  <si>
    <t>https://www.facebook.com/ecnovorumo</t>
  </si>
  <si>
    <t>https://www.instagram.com/ecnovorumo/</t>
  </si>
  <si>
    <t>Seg-Sex 9h-20h; Sáb 9h-13h</t>
  </si>
  <si>
    <t>Volume médio (258), boas avaliações, Facebook ~1.560 seguidores; sem sinais de dor</t>
  </si>
  <si>
    <t>Site em baixo; sem evidência de app</t>
  </si>
  <si>
    <t>Av. Escola Secundária, Bloco 4-B R/C Esq, 3440-321 Santa Comba Dão</t>
  </si>
  <si>
    <t>https://escola-de-conducao.pt/escola-de-conducao-novo-rumo-306282.html; https://www.bomcondutor.pt/escolas/escola/novo-rumo; https://www.facebook.com/ecnovorumo; https://passaprimeira.xyz/distritos-regioes/viseu/concelhos/santa-comba-dao/escolas/novo-rumo-01023/</t>
  </si>
  <si>
    <t>Canas de Senhorim</t>
  </si>
  <si>
    <t>Escola de Condução Santarense</t>
  </si>
  <si>
    <t>232181204</t>
  </si>
  <si>
    <t>968539989</t>
  </si>
  <si>
    <t>escola.conducao.santarense@hotmail.com</t>
  </si>
  <si>
    <t>https://www.facebook.com/escoladeconducaosantarense/</t>
  </si>
  <si>
    <t>Única escola de Canas de Senhorim, volume médio (260), boas avaliações, Facebook ~990 seguidores</t>
  </si>
  <si>
    <t>Urb. das Lameiras, Loja 1 – R. Dr. Eduardo Maria dos Santos, 3525-072 Canas de Senhorim</t>
  </si>
  <si>
    <t>https://escola-de-conducao.pt/escola-de-conducao-santarense-306776.html; https://www.andardemoto.pt/escolas-de-conducao/dir/d/viseu/c/nelas/p-3001/escola-de-conducao-santarense/; https://passaprimeira.xyz/distritos-regioes/viseu/concelhos/nelas/escolas/</t>
  </si>
  <si>
    <t>Sátão</t>
  </si>
  <si>
    <t>Escola de Condução Sátão (empresa Escola de Condução Trem, Lda)</t>
  </si>
  <si>
    <t>232981593</t>
  </si>
  <si>
    <t>934821517; 939395482</t>
  </si>
  <si>
    <t>https://www.facebook.com/satao.escoladeconducao</t>
  </si>
  <si>
    <t>A1, A2, A, B, BE, C, CE</t>
  </si>
  <si>
    <t>Volume médio (246), Facebook ~3.485 seguidores; sem sinais de dor encontrados. 'Trem' e 'Sátão' têm a mesma morada/telefone (mesma escola)</t>
  </si>
  <si>
    <t>Site negocio.site em baixo (404); sem evidência de app</t>
  </si>
  <si>
    <t>Rua Dr. Hilário de Almeida Pereira 162, 1º Dto, 3560-172 Sátão</t>
  </si>
  <si>
    <t>https://www.bomcondutor.pt/escolas/escola/satao; https://passaprimeira.xyz/distritos-regioes/viseu/concelhos/satao/escolas/satao-00521/; https://www.autonews.pt/escolas-de-conducao/dir/d/viseu/c/satao/p-3057/escola-de-conducao-trem/; https://www.buysatao.pt/en/establishments/escola-de-conducao-satao</t>
  </si>
  <si>
    <t>Escola de Condução de Tarouca</t>
  </si>
  <si>
    <t>254679595</t>
  </si>
  <si>
    <t>Volume médio, sem presença digital encontrada; a Tarcond Lda (Tarouca) consta como encerrada no Racius - confirmar se ainda opera</t>
  </si>
  <si>
    <t>Largo do Castanheiro de Ouro r/c, 3610-103 Tarouca</t>
  </si>
  <si>
    <t>https://www.andardemoto.pt/escolas-de-conducao/dir/d/viseu/c/tarouca/p-2627/escola-de-conducao-de-tarouca/; https://escolasdeconducao.com/escola-de-conducao-tarouca; https://www.racius.com/escolas-de-conducao-e-pilotagem/tarouca/</t>
  </si>
  <si>
    <t>Albinstrutora - Escola de Condução (IMT: Escola de Condução Castelo Branco, licença 879)</t>
  </si>
  <si>
    <t>272325478</t>
  </si>
  <si>
    <t>926068095</t>
  </si>
  <si>
    <t>lidialmeida71@gmail.com</t>
  </si>
  <si>
    <t>https://www.facebook.com/albinstrutora.escoladeconducao</t>
  </si>
  <si>
    <t>Seg-Sex 09:00-12:00, 15:00-19:00; Sábado 10:00-11:00 (aberto ao sábado, curto)</t>
  </si>
  <si>
    <t>Volume médio (254 exames 2021), sem sinais de dor nem app própria</t>
  </si>
  <si>
    <t>Site antigo albinstrutora.pt não resolve; sem área do aluno visível</t>
  </si>
  <si>
    <t>Quinta do Amieiro de Baixo, Lote 15 R/C, 6000-129 Castelo Branco</t>
  </si>
  <si>
    <t>https://escola-de-conducao.pt/albinstrutora-escola-de-conducao-306371.html; https://passaprimeira.xyz/distritos-regioes/castelo-branco/concelhos/castelo-branco/escolas/castelo-branco-00879/; https://www.andardemoto.pt/escolas-de-conducao/dir/d/castelo-branco/c/castelo-branco/p-2085/albinstrutora/; https://escolasconducao.com/escola/escola-de-conducao-albinstrutora-lda; https://transitoagora.pt/escolas-conducao</t>
  </si>
  <si>
    <t>Escola de Condução Via Prática (Via Prática, Lda)</t>
  </si>
  <si>
    <t>272092626</t>
  </si>
  <si>
    <t>https://www.facebook.com/viapratica.lda/</t>
  </si>
  <si>
    <t>Seg-Sex 09:30-13:00, 14:00-19:00; Sábado encerrado</t>
  </si>
  <si>
    <t>Volume médio, sem sinais de dor; fechada ao sábado</t>
  </si>
  <si>
    <t>Rua Joaquim Porfírio da Silva, nº 267 R/C, 6000-029 Castelo Branco</t>
  </si>
  <si>
    <t>https://escola-de-conducao.pt/escola-de-conducao-via-pratica-305907.html; https://escolasconducao.com/escola/via-pratica-lda; https://transitoagora.pt/escolas-conducao</t>
  </si>
  <si>
    <t>Sertã</t>
  </si>
  <si>
    <t>Cernache do Bonjardim</t>
  </si>
  <si>
    <t>Escola de Condução de Cernache do Bonjardim (Manuel Guimarães, Unipessoal Lda)</t>
  </si>
  <si>
    <t>274802728</t>
  </si>
  <si>
    <t>https://m.facebook.com/EscolaCernachedoBonjardim/</t>
  </si>
  <si>
    <t>Volume médio, muito bem avaliada</t>
  </si>
  <si>
    <t>Rua dos Pinheiros - Alto Ventoso, 6100-205 Cernache do Bonjardim</t>
  </si>
  <si>
    <t>https://escola-de-conducao.pt/escola-de-conducao-de-cernache-306070.html; https://passaprimeira.xyz/distritos-regioes/castelo-branco/concelhos/serta/escolas/cernache-do-bonjardim-00725/; https://escolasconducao.com/escola/escola-de-conducao-manuel-guimaraes-unipessoal-lda</t>
  </si>
  <si>
    <t>Tortosendo</t>
  </si>
  <si>
    <t>Escola de Condução do Tortosendo (Tortosendense, Lda)</t>
  </si>
  <si>
    <t>275954572</t>
  </si>
  <si>
    <t>econducaotortosendense@netvisao.pt</t>
  </si>
  <si>
    <t>Seg-Sex 09:00-20:00; Sábado 09:00-12:00 (aberto)</t>
  </si>
  <si>
    <t>Volume médio, bem avaliada</t>
  </si>
  <si>
    <t>Av. Montes Hermínios, 6 A, 6200-759 Tortosendo</t>
  </si>
  <si>
    <t>https://escola-de-conducao.pt/escola-de-conducao-do-tortosendo-306490.html; https://passaprimeira.xyz/distritos-regioes/castelo-branco/concelhos/covilha/escolas/do-tortosendo-00870/; https://escolasconducao.com/escola/escola-de-conducao-tortosendense-lda</t>
  </si>
  <si>
    <t>Escola de Condução M.R. Ascensão</t>
  </si>
  <si>
    <t>238311686</t>
  </si>
  <si>
    <t>ec.mra.seia@gmail.com</t>
  </si>
  <si>
    <t>https://www.facebook.com/MRAscensao</t>
  </si>
  <si>
    <t>Seg-Sex 09:00-12:30, 14:00-19:00; Sábado 10:00-12:30 (aberto)</t>
  </si>
  <si>
    <t>Av. 1º de Maio, Lote 1 - 2º, 6270-479 Seia</t>
  </si>
  <si>
    <t>https://escola-de-conducao.pt/escola-de-conducao-m-r-ascensao-305795.html; https://passaprimeira.xyz/distritos-regioes/guarda/concelhos/seia/escolas/mr-ascencao-00235/; https://www.andardemoto.pt/escolas-de-conducao/dir/d/guarda/c/seia/p-2808/escola-de-conducao-m-r-ascensao/</t>
  </si>
  <si>
    <t>Escola de Condução da Beira Alta</t>
  </si>
  <si>
    <t>232711269</t>
  </si>
  <si>
    <t>Volume médio-baixo (216 provas 2021); sem presença online encontrada (nem site nem redes sociais); sem sinais de dor.</t>
  </si>
  <si>
    <t>Largo Camões / Rua de Camões, n.º 56, 3660-436 São Pedro do Sul</t>
  </si>
  <si>
    <t>https://www.andardemoto.pt/escolas-de-conducao/dir/d/viseu/c/sao-pedro-do-sul/p-2554/escola-de-conducao-da-beira-alta/; https://www.bomcondutor.pt/escolas/escola/beira-alta; https://www.amarelas.pt/c/sao-pedro-do-sul-escola-de-conducao-da-beira-alta-112956</t>
  </si>
  <si>
    <t>Escola de Condução ABC da Estrada</t>
  </si>
  <si>
    <t>Escola recente (licença 1438) com volume médio; contactos não encontrados</t>
  </si>
  <si>
    <t>Av. da República, nº 24, r/c, Trancoso</t>
  </si>
  <si>
    <t>https://passaprimeira.xyz/distritos-regioes/guarda/concelhos/trancoso/escolas/abc-da-estrada-01438/; https://transitoagora.pt/escolas-conducao</t>
  </si>
  <si>
    <t>Escola de Condução Auto Instrutora de Ílhavo</t>
  </si>
  <si>
    <t>234 326 011</t>
  </si>
  <si>
    <t>Escola pequena e independente; pouca presença online</t>
  </si>
  <si>
    <t>Av. 25 de Abril, n.º 120, Porta D, 2.º andar, 3830-044 Ílhavo</t>
  </si>
  <si>
    <t>https://www.andardemoto.pt/escolas-de-conducao/dir/d/aveiro/c/ilhavo/p-2117/escola-de-conducao-auto-instrutora/; https://escola-de-conducao.pt/auto-instrutora-ilhavo-306688.html (rating Google via snapshot escola-de-conducao.pt); https://passaprimeira.xyz/en/districts-regions/aveiro/municipalities/ilhavo/schools/</t>
  </si>
  <si>
    <t>Guarda (Póvoa de Mileu)</t>
  </si>
  <si>
    <t>Escola de Condução do Mileu (Serra Nevada - Escola de Condução, Lda)</t>
  </si>
  <si>
    <t>271082561; 271221048</t>
  </si>
  <si>
    <t>Volume médio, sem presença digital relevante</t>
  </si>
  <si>
    <t>Rua Vila de Manteigas, 9-A, Póvoa de Mileu, 6300-617 Guarda</t>
  </si>
  <si>
    <t>https://escola-de-conducao.pt/serra-nevada-escola-de-conducao-lda-306625.html; https://passaprimeira.xyz/distritos-regioes/guarda/concelhos/guarda/escolas/mileu-00824/; https://www.andardemoto.pt/escolas-de-conducao/dir/d/guarda/c/guarda/p-3456/serra-nevada-escola-de-conducao/</t>
  </si>
  <si>
    <t>Escola de Condução A Nova de Esmoriz</t>
  </si>
  <si>
    <t>256 752 773</t>
  </si>
  <si>
    <t>Escola pequena (55 exames 2021), sem presença online relevante</t>
  </si>
  <si>
    <t>Av. 29 de Março, 190 B-A, 1º Esq., Edifício Miramar, 3885-402 Esmoriz</t>
  </si>
  <si>
    <t>https://passaprimeira.xyz/en/districts-regions/aveiro/municipalities/ovar/schools/; https://www.bomcondutor.pt/escolas/escola/nova-de-esmoriz; https://escola-de-conducao.pt/escola-de-conducao-nova-de-esmoriz-306180.html</t>
  </si>
  <si>
    <t>Resende</t>
  </si>
  <si>
    <t>Cárquere (Granja)</t>
  </si>
  <si>
    <t>Escola de Condução Max</t>
  </si>
  <si>
    <t>254878151</t>
  </si>
  <si>
    <t>Volume baixo (186 provas 2021); sem presença online confirmada; sem sinais de dor.</t>
  </si>
  <si>
    <t>R. D. Vasco Magalhães, Lote 2 r/c, Granja, 4660-055 Cárquere</t>
  </si>
  <si>
    <t>https://www.andardemoto.pt/escolas-de-conducao/dir/d/viseu/c/resende/p-2829/escola-de-conducao-max/; https://escolasdeconducao.com/escola-de-conducao-max</t>
  </si>
  <si>
    <t>Penalva do Castelo</t>
  </si>
  <si>
    <t>Escola de Condução S. Cristóvão Penalvense, Lda</t>
  </si>
  <si>
    <t>232641282</t>
  </si>
  <si>
    <t>https://www.facebook.com/ecpenalvense</t>
  </si>
  <si>
    <t>Única escola do concelho, volume baixo/médio, avaliações positivas; sem sinais de dor</t>
  </si>
  <si>
    <t>Rua D. Manuel I, Lote 2 R/C Esq, 3550-147 Penalva do Castelo</t>
  </si>
  <si>
    <t>https://escola-de-conducao.pt/escola-de-conducao-s-cristovao-penalvense-lda-306680.html; https://www.autonews.pt/escolas-de-conducao/dir/d/viseu/c/penalva-do-castelo/p-3010/escola-de-conducao-sao-cristovao-penalvense/; https://passaprimeira.xyz/distritos-regioes/viseu/concelhos/penalva-do-castelo/escolas/</t>
  </si>
  <si>
    <t>Alcains</t>
  </si>
  <si>
    <t>Escola de Condução Alcains (Porfírio Rodrigues de Lima &amp; Irmãos, Lda)</t>
  </si>
  <si>
    <t>272085199</t>
  </si>
  <si>
    <t>esc_cond_alcains@hotmail.com</t>
  </si>
  <si>
    <t>http://facebook.com/econducaoalcains</t>
  </si>
  <si>
    <t>Escola de vila, volume médio, sem sinais de dor</t>
  </si>
  <si>
    <t>Site antigo econducaoalcains.webnode.pt devolve 404</t>
  </si>
  <si>
    <t>Estrada de São Domingos, 64 R/c, 6005-010 Alcains</t>
  </si>
  <si>
    <t>https://escola-de-conducao.pt/porfirio-r-lima-irmaos-lda-290912.html; https://passaprimeira.xyz/distritos-regioes/castelo-branco/concelhos/castelo-branco/escolas/alcains-00456/; https://www.andardemoto.pt/escolas-de-conducao/dir/d/castelo-branco/c/castelo-branco/p-2422/escola-de-conducao-alcains/; https://escolasconducao.com/escola/porfirio-rodrigues-de-lima-irmaos-lda; https://www.testesdecodigogratis.com/escola-de-conducao/alcains/</t>
  </si>
  <si>
    <t>Escola de Condução Serrana</t>
  </si>
  <si>
    <t>275182980</t>
  </si>
  <si>
    <t>966662886</t>
  </si>
  <si>
    <t>https://www.facebook.com/escolaconducaoserrana/</t>
  </si>
  <si>
    <t>Seg-Sex 10:00-20:00; Sábado 10:00-12:00 (aberto)</t>
  </si>
  <si>
    <t>Volume médio-baixo, sem sinais de dor</t>
  </si>
  <si>
    <t>Estrada do Sineiro, nº 57-B, 6200-209 Covilhã (junto ao Pólo IV da UBI)</t>
  </si>
  <si>
    <t>https://www.andardemoto.pt/escolas-de-conducao/dir/d/castelo-branco/c/covilha/p-3028/escola-de-conducao-serrana/; https://passaprimeira.xyz/distritos-regioes/castelo-branco/concelhos/covilha/escolas/serrana-00859/; https://escolasconducao.com/escola/escola-de-conducao-serrana-unipessoal-lda; https://covilha.empresasportugal.net/school/escola-de-conducao-serrana/</t>
  </si>
  <si>
    <t>Teixoso</t>
  </si>
  <si>
    <t>Escola de Condução do Teixoso (Pina, Reis &amp; Antunes, Lda)</t>
  </si>
  <si>
    <t>275921900</t>
  </si>
  <si>
    <t>925875602; 913023389</t>
  </si>
  <si>
    <t>ecteixoso@hotmail.com</t>
  </si>
  <si>
    <t>https://www.facebook.com/ecteixoso</t>
  </si>
  <si>
    <t>Av. de São Salvador, Lote 5, R/C Dto, 6200-638 Teixoso</t>
  </si>
  <si>
    <t>https://www.andardemoto.pt/escolas-de-conducao/dir/d/castelo-branco/c/covilha/p-2649/escola-de-conducao-do-teixoso/; https://passaprimeira.xyz/distritos-regioes/castelo-branco/concelhos/covilha/escolas/teixoso-01036/; https://escolasconducao.com/escola/pina-reis-antunes-lda; https://www.testesdecodigogratis.com/escola-de-conducao/teixoso/</t>
  </si>
  <si>
    <t>Sabugal</t>
  </si>
  <si>
    <t>Escola de Condução Sabugalense</t>
  </si>
  <si>
    <t>271752220</t>
  </si>
  <si>
    <t>https://www.facebook.com/escolaconducao.sabugalense</t>
  </si>
  <si>
    <t>Seg-Sex 09:00-18:00; Sábado encerrado</t>
  </si>
  <si>
    <t>Volume médio, única do concelho</t>
  </si>
  <si>
    <t>Rua Luís de Camões, nº 26 - 1º Dto, 6320-380 Sabugal</t>
  </si>
  <si>
    <t>https://escola-de-conducao.pt/escola-de-conducao-sabugal-306313.html; https://passaprimeira.xyz/distritos-regioes/guarda/concelhos/sabugal/escolas/sabugalense-00295/; https://www.testesdecodigogratis.com/escola-de-conducao/sabugalense/</t>
  </si>
  <si>
    <t>Escola de Condução Santos Pereira &amp; Carvalho (S.P&amp;C)</t>
  </si>
  <si>
    <t>271211257; 271211641</t>
  </si>
  <si>
    <t>Seg-Sex 09:00-19:30; Sábado 09:00-13:00 (aberto)</t>
  </si>
  <si>
    <t>Rua José dos Santos, nº 27, Bairro da Luz, 6300-575 Guarda</t>
  </si>
  <si>
    <t>https://escola-de-conducao.pt/escola-de-conducao-s-p-c-305804.html; https://passaprimeira.xyz/distritos-regioes/guarda/concelhos/guarda/escolas/santos-pereira-e-carvalho-00716/; https://escolasconducao.com/escola/escola-de-conducao-santos-pereira-carvalho-lda</t>
  </si>
  <si>
    <t>Escola de Condução S. Salvador de Resende</t>
  </si>
  <si>
    <t>254871584</t>
  </si>
  <si>
    <t>Seg-Qui 9h-12h e 14h-18h; Sex 9h-12h30 e 14h30-18h; Sáb 9h-12h</t>
  </si>
  <si>
    <t>Volume baixo (138 provas 2021); sem presença online encontrada; sem sinais de dor.</t>
  </si>
  <si>
    <t>Rua do Pavilhão, n.º 27, Edifício Passus II, Fração D, 4660-226 Resende</t>
  </si>
  <si>
    <t>https://escola-de-conducao.pt/escola-de-conducao-s-salvador-de-resende-306895.html; https://www.andardemoto.pt/escolas-de-conducao/dir/d/viseu/c/resende/p-3398/s-salvador-de-resende/</t>
  </si>
  <si>
    <t>Escola de Condução Via Drive</t>
  </si>
  <si>
    <t>232983755</t>
  </si>
  <si>
    <t>933290517</t>
  </si>
  <si>
    <t>https://www.facebook.com/escolaviadrive/</t>
  </si>
  <si>
    <t>Escola pequena (155 provas), Facebook ~550 seguidores</t>
  </si>
  <si>
    <t>Quinta da Miusã, Lote 51, Fração B, R/C Dto, 3560-156 Sátão</t>
  </si>
  <si>
    <t>https://www.portugalio.com/escola-de-conducao-via-drive/; https://passaprimeira.xyz/distritos-regioes/viseu/concelhos/satao/escolas/via-drive-01313/; https://www.facebook.com/escolaviadrive/</t>
  </si>
  <si>
    <t>Idanha-a-Nova</t>
  </si>
  <si>
    <t>Escola de Condução Idanhense (Manobras com Sucesso, Unipessoal Lda)</t>
  </si>
  <si>
    <t>277208112</t>
  </si>
  <si>
    <t>ecidanhense@gmail.com</t>
  </si>
  <si>
    <t>Escola única do concelho, volume médio-baixo</t>
  </si>
  <si>
    <t>Rua da Filarmónica Idanhense, Lote 69, R/C Dto, 6060-188 Idanha-a-Nova</t>
  </si>
  <si>
    <t>https://passaprimeira.xyz/distritos-regioes/castelo-branco/concelhos/idanhaanova/escolas/idanhense-00556/; https://escolasconducao.com/escola/manobras-com-sucesso-escola-de-conducao-e-formacao-unipessoal-lda; https://www.andardemoto.pt/escolas-de-conducao/dir/d/castelo-branco/c/idanha-a-nova/p-2737/escola-de-conducao-idanhense/</t>
  </si>
  <si>
    <t>Aguiar da Beira</t>
  </si>
  <si>
    <t>Escola de Condução Olidrive</t>
  </si>
  <si>
    <t>925828399</t>
  </si>
  <si>
    <t>https://www.facebook.com/olidrive.agb</t>
  </si>
  <si>
    <t>Pequena; sociedade provável Carlos Manuel Oliveira, Unipessoal Lda (não confirmado)</t>
  </si>
  <si>
    <t>Rua do Barreiro, n.º 31, r/c, 3570-021 Aguiar da Beira</t>
  </si>
  <si>
    <t>https://escola-de-conducao.pt/escola-de-conducao-olidrive-aguiar-da-beira-306650.html; https://passaprimeira.xyz/distritos-regioes/guarda/concelhos/aguiar-da-beira/escolas/olidrive-01347/; https://escolasconducao.com/escola/carlos-manuel-oliveira-unipessoal-lda</t>
  </si>
  <si>
    <t>Estarreja (antes Avanca)</t>
  </si>
  <si>
    <t>Escola de Condução Nobel (ficha Google também como "Escola de condução Estarreja")</t>
  </si>
  <si>
    <t>234 099 139; 234 028 051</t>
  </si>
  <si>
    <t>https://www.facebook.com/people/Escola-de-Condu%C3%A7%C3%A3o-Nobel/100067016984178/</t>
  </si>
  <si>
    <t>Seg-Sex 10:00–20:00; Sáb 10:00–13:00 (ficha 'Escola de condução Estarreja') — ABERTO ao sábado de manhã</t>
  </si>
  <si>
    <t>Escola pequena (92/91 exames em 2019/20, sem dados 2021); aparentemente mudou de Avanca para Estarreja — confirmar</t>
  </si>
  <si>
    <t>Rua Dr. Manuel Ferreira da Silva, Nº 61, 3860 Estarreja (morada IMT anterior: Rua da Igreja, 74, 3860-133 Avanca)</t>
  </si>
  <si>
    <t>https://passaprimeira.xyz/en/districts-regions/aveiro/municipalities/estarreja/schools/; https://escola-de-conducao.pt/escola-de-conducao-nobel-306922.html; https://escola-de-conducao.pt/escola-de-conducao-estarreja-306921.html; https://www.facebook.com/people/Escola-de-Condu%C3%A7%C3%A3o-Nobel/100067016984178/</t>
  </si>
  <si>
    <t>Lamego (Ortigosa)</t>
  </si>
  <si>
    <t>Escola de Condução A Realidade</t>
  </si>
  <si>
    <t>254614641</t>
  </si>
  <si>
    <t>conducaorealidade@live.com.pt</t>
  </si>
  <si>
    <t>https://ecrealidade.webnode.pt/</t>
  </si>
  <si>
    <t>https://www.facebook.com/EscolaDeConducaoRealidade/</t>
  </si>
  <si>
    <t>"Denotando-se algumas deficiências" (crítica 4/5, 2018, que elogia a disponibilidade) - https://escola-de-conducao.pt/escola-de-conducao-a-realidade-lda-306639.html; Portal da Queixa: sem página de marca encontrada</t>
  </si>
  <si>
    <t>Escola pequena de instrutor-proprietário, presença digital fraca (FB com cerca de 137 gostos); sem dor clara</t>
  </si>
  <si>
    <t>Site Webnode básico, sem área do aluno - https://ecrealidade.webnode.pt/</t>
  </si>
  <si>
    <t>Lugar do Cerrado - Ortigosa, Bloco A, Subcave (Fração C), 5100-160 Lamego</t>
  </si>
  <si>
    <t>https://ecrealidade.webnode.pt/; https://www.bomcondutor.pt/escolas/escola/a-realidade; https://escola-de-conducao.pt/escola-de-conducao-a-realidade-lda-306639.html; https://www.racius.com/escola-de-conducao-a-realidade-lda/</t>
  </si>
  <si>
    <t>Currelos</t>
  </si>
  <si>
    <t>Escola de Condução Automobilista do Carregal do Sal</t>
  </si>
  <si>
    <t>Licenciada no IMT (alvará 311); contactos e redes não encontrados</t>
  </si>
  <si>
    <t>Estrada Nacional – Currelos, 3430 Carregal do Sal</t>
  </si>
  <si>
    <t>https://passaprimeira.xyz/distritos-regioes/viseu/concelhos/carregal-do-sal/escolas/automobilista-carregal-do-sal-00311/; https://www.autonews.pt/escolas-de-conducao/dir/d/viseu/c/carregal-do-sal/p-2168/automobilista-do-carregal-do-sal/</t>
  </si>
  <si>
    <t>Smart Road – Escola de Condução (Elogios e Desafios Unip.)</t>
  </si>
  <si>
    <t>961357733</t>
  </si>
  <si>
    <t>https://www.facebook.com/ecsmartroad</t>
  </si>
  <si>
    <t>https://www.instagram.com/ecsmartroad/</t>
  </si>
  <si>
    <t>Seg-Sex 9h-12h e 14h-19h30; Sáb 9h-12h</t>
  </si>
  <si>
    <t>Escola recente (alvará 1440, desde 2020), muito bem avaliada (48 avaliações, 5.0; equipa Diana e Daniel); volume baixo (130); Instagram pequeno (131 seg.)</t>
  </si>
  <si>
    <t>Rua Dr. Aníbal Dias 10 r/c, 3450-150 Mortágua</t>
  </si>
  <si>
    <t>https://escola-de-conducao.pt/smart-road-escola-de-conducao-306330.html; https://passaprimeira.xyz/distritos-regioes/viseu/concelhos/mortagua/escolas/smart-road-01440/; https://www.instagram.com/ecsmartroad/</t>
  </si>
  <si>
    <t>Escola de Condução Carapalha</t>
  </si>
  <si>
    <t>272328135</t>
  </si>
  <si>
    <t>Seg-Sex 10:00-19:00; Sábado encerrado</t>
  </si>
  <si>
    <t>Escola pequena e recente (licença 1420)</t>
  </si>
  <si>
    <t>Avenida da Carapalha, Lote 65, nº 45 r/c Dto, Castelo Branco</t>
  </si>
  <si>
    <t>https://escola-de-conducao.pt/escola-de-conducao-carapalha-306624.html; https://passaprimeira.xyz/distritos-regioes/castelo-branco/concelhos/castelo-branco/escolas/carapalha-01420/; https://transitoagora.pt/escolas-conducao</t>
  </si>
  <si>
    <t>Vila Nova de Foz Côa</t>
  </si>
  <si>
    <t>Escola de Condução Alternativa</t>
  </si>
  <si>
    <t>279762681</t>
  </si>
  <si>
    <t>ecalternativa@sapo.pt</t>
  </si>
  <si>
    <t>http://www.ecalternativa.no.sapo.pt (site antigo)</t>
  </si>
  <si>
    <t>Pequena, única do concelho</t>
  </si>
  <si>
    <t>Av. Cidade Nova, Nº 14 R/C Esq, 5150-566 Vila Nova de Foz Côa</t>
  </si>
  <si>
    <t>https://passaprimeira.xyz/distritos-regioes/guarda/concelhos/vila-nova-de-foz-coa/escolas/alternativa-00884/; https://www.andardemoto.pt/escolas-de-conducao/dir/d/guarda/c/vila-nova-de-foz-coa/p-2433/escola-de-conducao-alternativa/; https://www.testesdecodigogratis.com/escola-de-conducao/alternativa/</t>
  </si>
  <si>
    <t>Souselo</t>
  </si>
  <si>
    <t>Escola de Condução Bateira</t>
  </si>
  <si>
    <t>255695060</t>
  </si>
  <si>
    <t>Volume baixo (103 provas 2021); sem presença online encontrada. Nota: infoisinfo associa o site educacao-rodoviaria.pt/ec-bateira à ficha da Cinfanense — possível relação, não confirmada.</t>
  </si>
  <si>
    <t>Rua Santa Eulália, Souselo, 4690-666 Souselo</t>
  </si>
  <si>
    <t>https://www.andardemoto.pt/escolas-de-conducao/dir/d/viseu/c/cinfaes/p-2491/escola-de-conducao-bateira/; https://cinfaes.infoisinfo.com.pt/ficha/escola_de_conducao_cinfanense/326379</t>
  </si>
  <si>
    <t>Escola de Condução Olifradense</t>
  </si>
  <si>
    <t>232761145</t>
  </si>
  <si>
    <t>Volume baixo (103 provas 2021); sem presença online encontrada; sem sinais de dor.</t>
  </si>
  <si>
    <t>Rua da Misericórdia, 48, 3680-094 Oliveira de Frades</t>
  </si>
  <si>
    <t>https://www.andardemoto.pt/escolas-de-conducao/dir/d/viseu/c/oliveira-de-frades/p-2901/escola-de-conducao-olifradense/; https://escolasdeconducao.com/escola-de-conducao-olifradense; https://www.yelp.com/biz/escola-de-condu%C3%A7ao-olifradense-oliveira-de-frades</t>
  </si>
  <si>
    <t>São João da Pesqueira</t>
  </si>
  <si>
    <t>Escola de Condução Prodouro</t>
  </si>
  <si>
    <t>254488187</t>
  </si>
  <si>
    <t>Volume pequeno a médio, sem presença digital encontrada</t>
  </si>
  <si>
    <t>Caminho Novo ou Estremadura, 5130-359 São João da Pesqueira</t>
  </si>
  <si>
    <t>https://www.andardemoto.pt/escolas-de-conducao/dir/d/viseu/c/sao-joao-da-pesqueira/p-3344/prodouro/; https://www.bomcondutor.pt/escolas/escola/prodouro</t>
  </si>
  <si>
    <t>Vouzela</t>
  </si>
  <si>
    <t>Escola de Condução Vouzelense</t>
  </si>
  <si>
    <t>232771531</t>
  </si>
  <si>
    <t>ecvouzelense@sapo.pt</t>
  </si>
  <si>
    <t>A; B (motociclos e ligeiros)</t>
  </si>
  <si>
    <t>Volume baixo (104 provas 2021); +30 anos; presente no portal municipal Vouzela Mais Digital; oferece transporte gratuito aos alunos; sem app nem sinais de dor.</t>
  </si>
  <si>
    <t>Rua Dr. Aristides Amorim Girão, lote 22/23, 3670-237 Vouzela</t>
  </si>
  <si>
    <t>https://vouzelamaisdigital.com/escola-de-conducao-vouzelense/; https://www.andardemoto.pt/escolas-de-conducao/dir/d/viseu/c/vouzela/p-3103/escola-de-conducao-vouzelense/; https://codigopostal.ciberforma.pt/dir/501618414/escola-de-conducao-vouzelense-lda/</t>
  </si>
  <si>
    <t>Escola de Condução Maia &amp; Ferreira</t>
  </si>
  <si>
    <t>274801203</t>
  </si>
  <si>
    <t>ec.maia.ferreira@hotmail.com</t>
  </si>
  <si>
    <t>http://www.ec-maiaeferreira.com (não resolve)</t>
  </si>
  <si>
    <t>Pequena</t>
  </si>
  <si>
    <t>Rua dos Pinheiros, Lote 2, Apartado 50, 6100-266 Cernache do Bonjardim (registo: Alto da Carreira, Lote 6, 6100-607 Sertã)</t>
  </si>
  <si>
    <t>https://passaprimeira.xyz/distritos-regioes/castelo-branco/concelhos/serta/escolas/maia-e-ferreira-00921/; https://escolasconducao.com/escola/escola-de-conducao-maia-ferreira-lda; https://www.andardemoto.pt/escolas-de-conducao/dir/d/castelo-branco/c/serta/p-2812/escola-de-conducao-maia-e-ferreira/</t>
  </si>
  <si>
    <t>Escola de Condução Moderna - Sertã</t>
  </si>
  <si>
    <t>274601515</t>
  </si>
  <si>
    <t>927719762</t>
  </si>
  <si>
    <t>Seg-Sex 09:00-13:00, 14:30-20:00; Sábado 09:00-13:00 (aberto)</t>
  </si>
  <si>
    <t>Largo das Lameiras, Av. Dr. Ângelo Henriques Vidigal 4, 6100-758 Sertã</t>
  </si>
  <si>
    <t>https://escola-de-conducao.pt/escola-de-conducao-moderna-serta-306627.html; https://passaprimeira.xyz/distritos-regioes/castelo-branco/concelhos/serta/escolas/moderna-serta-00567/; https://www.andardemoto.pt/escolas-de-conducao/dir/d/castelo-branco/c/serta/p-3264/moderna-serta/</t>
  </si>
  <si>
    <t>Oleiros</t>
  </si>
  <si>
    <t>Escola de Condução Oleirense (Luís Lima, Lda)</t>
  </si>
  <si>
    <t>272682416</t>
  </si>
  <si>
    <t>Rua do Ramalhal, nº 20 r/c, 6160-418 Oleiros</t>
  </si>
  <si>
    <t>https://passaprimeira.xyz/distritos-regioes/castelo-branco/concelhos/oleiros/escolas/oleirense-00591/; https://escolasconducao.com/escola/luis-lima-lda; https://www.andardemoto.pt/escolas-de-conducao/dir/d/castelo-branco/c/oleiros/p-2898/escola-de-conducao-oleirense/</t>
  </si>
  <si>
    <t>Sertã (Venda da Pedra)</t>
  </si>
  <si>
    <t>Escola de Condução Silvino Lopes</t>
  </si>
  <si>
    <t>274603771</t>
  </si>
  <si>
    <t>966872628; 966521558</t>
  </si>
  <si>
    <t>https://www.silvinolopes.com/</t>
  </si>
  <si>
    <t>https://www.facebook.com/EscolaConducaoSilvinoLopes/</t>
  </si>
  <si>
    <t>Pré-inscrição por formulário web; marcação por telefone</t>
  </si>
  <si>
    <t>Seg-Sex 09:00-12:00, 14:00-19:00; Sábado encerrado</t>
  </si>
  <si>
    <t>A, B, CAM</t>
  </si>
  <si>
    <t>Pequena; site relativamente moderno</t>
  </si>
  <si>
    <t>Site com formulário de pré-inscrição online (silvinolopes.com/inscricao-online); sem área do aluno</t>
  </si>
  <si>
    <t>EN 2, Venda da Pedra, 6100-707 Sertã</t>
  </si>
  <si>
    <t>https://escola-de-conducao.pt/escola-de-conducao-silvino-lopes-306623.html; https://www.silvinolopes.com/; https://passaprimeira.xyz/distritos-regioes/castelo-branco/concelhos/serta/escolas/silvino-lopes-01204/</t>
  </si>
  <si>
    <t>Fornos de Algodres</t>
  </si>
  <si>
    <t>Escola de Condução Fornos de Algodres</t>
  </si>
  <si>
    <t>271703373</t>
  </si>
  <si>
    <t>https://www.facebook.com/ECFornosAlgodres/</t>
  </si>
  <si>
    <t>Seg-Sáb 09:00-18:00 (Google indica aberto ao sábado)</t>
  </si>
  <si>
    <t>Muito pequena</t>
  </si>
  <si>
    <t>Estrada Nacional 16, nº 139, 6370-147 Fornos de Algodres</t>
  </si>
  <si>
    <t>https://escola-de-conducao.pt/escola-de-conducao-fornos-de-algodres-290566.html; https://passaprimeira.xyz/distritos-regioes/guarda/concelhos/fornos-de-algodres/escolas/fornos-de-algodres-00495/</t>
  </si>
  <si>
    <t>Manteigas</t>
  </si>
  <si>
    <t>Escola de Condução de Manteigas (Salvado &amp; Tacanho, Lda)</t>
  </si>
  <si>
    <t>275981547</t>
  </si>
  <si>
    <t>e.c.manteigas@iol.pt</t>
  </si>
  <si>
    <t>Rua do Colégio, nº 4, 6260-022 Manteigas</t>
  </si>
  <si>
    <t>https://passaprimeira.xyz/distritos-regioes/guarda/concelhos/manteigas/escolas/manteigas-00335/; https://escolasconducao.com/escola/escola-de-conducao-salvado-tacanho-lda; https://www.andardemoto.pt/escolas-de-conducao/dir/d/guarda/c/manteigas/p-2815/escola-de-conducao-manteigas/</t>
  </si>
  <si>
    <t>Viseu (Jugueiros)</t>
  </si>
  <si>
    <t>Escola de Condução Semáforo</t>
  </si>
  <si>
    <t>232461650</t>
  </si>
  <si>
    <t>963896573</t>
  </si>
  <si>
    <t>https://www.facebook.com/escola.semaforo/</t>
  </si>
  <si>
    <t>https://www.instagram.com/esc.semaforo/</t>
  </si>
  <si>
    <t>Seg-Sex 9h-12h, 14h-20h; Sáb 9h-13h</t>
  </si>
  <si>
    <t>Escola desde 2001, IG moderadamente ativo (270 posts), sem sinais de dor; sem linha identificada no IMT 2021.</t>
  </si>
  <si>
    <t>Av. Mestre Rita de Jesus 120, 3500-606 Viseu (morada antiga: Quinta de S. José Lote A, Fração C, Jugueiros, 3500-189)</t>
  </si>
  <si>
    <t>https://escola-de-conducao.pt/escola-de-conducao-semaforo-305816.html; https://www.sabemais.pt/escoladeconducaosemaforo; https://www.andardemoto.pt/escolas-de-conducao/dir/d/viseu/c/viseu/p-3448/semaforo/; https://www.instagram.com/esc.semaforo/</t>
  </si>
  <si>
    <t>Sernancelhe</t>
  </si>
  <si>
    <t>Escola de Condução de Sernancelhe</t>
  </si>
  <si>
    <t>938433219</t>
  </si>
  <si>
    <t>https://www.facebook.com/escoladeconducaosernancelhe</t>
  </si>
  <si>
    <t>Escola pequena; perfil pessoal de FB; sem dados de volume</t>
  </si>
  <si>
    <t>Urbanização Camarária de Lage Nova nº3 r/c, 3640-201 Sernancelhe</t>
  </si>
  <si>
    <t>https://www.andardemoto.pt/escolas-de-conducao/dir/d/viseu/c/sernancelhe/p-2279/escola-de-conducao-de-sernancelhe/; https://www.facebook.com/escoladeconducaosernancelhe</t>
  </si>
  <si>
    <t>Escola de Condução de São João da Pesqueira</t>
  </si>
  <si>
    <t>254484959; 254484196</t>
  </si>
  <si>
    <t>Escola local (entidade Formosos &amp; Gil Lda, capital de 51.000€) sem presença digital encontrada; nº de exames de 2021 não confirmado (poderá ser 'VIA DOURO' = 81?)</t>
  </si>
  <si>
    <t>Urbanização do Mercado, Lote 11, 5130-321 São João da Pesqueira</t>
  </si>
  <si>
    <t>https://www.andardemoto.pt/escolas-de-conducao/dir/d/viseu/c/sao-joao-da-pesqueira/p-2621/escola-de-conducao-de-sao-joao-da-pesqueira/; https://www.bomcondutor.pt/escolas/escola/sao-joao-da-pesqueira; https://www.racius.com/formosos-gil-lda/</t>
  </si>
  <si>
    <t>Escola de Condução Beatriz</t>
  </si>
  <si>
    <t>Licença IMT recente (1207) sem dados de exames publicados; confirmar atividade</t>
  </si>
  <si>
    <t>Urbanização Mira Serra, Quinta de Barreiros, Lt. B, R/C Dt, 6290-333 Gouveia</t>
  </si>
  <si>
    <t>https://escola-de-conducao.pt/escola-de-conducao-beatriz-306609.html; https://passaprimeira.xyz/distritos-regioes/guarda/concelhos/gouveia/escolas/beatriz-01207/</t>
  </si>
  <si>
    <t>C</t>
  </si>
  <si>
    <t>Escola de Condução Auto Caldense</t>
  </si>
  <si>
    <t>262 832 810</t>
  </si>
  <si>
    <t>911 189 191</t>
  </si>
  <si>
    <t>https://www.facebook.com/ecautocaldense</t>
  </si>
  <si>
    <t>Sem exames registados em 2021 - possivelmente inativa</t>
  </si>
  <si>
    <t>Rua General Queirós, 83 - 1.º Esq. - 2500-211 Caldas da Rainha</t>
  </si>
  <si>
    <t>https://passaprimeira.xyz/distritos-regioes/leiria/concelhos/caldas-da-rainha/escolas/auto-caldense-00126/; https://www.bomcondutor.pt/escolas/escola/auto-caldense</t>
  </si>
  <si>
    <t>Escola de Condução Auto Liz</t>
  </si>
  <si>
    <t>244 832 151</t>
  </si>
  <si>
    <t>Não consta da lista IMT 2021 - provavelmente encerrada</t>
  </si>
  <si>
    <t>Rua Machado Santos, 25 r/c - 2410-128 Leiria</t>
  </si>
  <si>
    <t>https://www.andardemoto.pt/escolas-de-conducao/dir/d/leiria/c/leiria/p-2467/escola-de-conducao-auto-liz/</t>
  </si>
  <si>
    <t>Mangas (Maceira)</t>
  </si>
  <si>
    <t>Escola de Condução Batalhense de Mangas</t>
  </si>
  <si>
    <t>244 771 291</t>
  </si>
  <si>
    <t>Já não listada no site do Grupo Batalhense nem no IMT 2021 - provavelmente encerrada</t>
  </si>
  <si>
    <t>Estrada da Marinha, 7 - Loja A, Mangas - 2405-011 Maceira</t>
  </si>
  <si>
    <t>https://www.andardemoto.pt/escolas-de-conducao/dir/d/leiria/c/leiria/p-2192/batalhense-de-mangas/</t>
  </si>
  <si>
    <t>Escola de Condução Espírito Santo &amp; Reis</t>
  </si>
  <si>
    <t>244 768 768</t>
  </si>
  <si>
    <t>Não consta da lista IMT 2021 nem do passaprimeira - provavelmente encerrada</t>
  </si>
  <si>
    <t>Estrada de Fátima, 16 - 2440-100 Batalha</t>
  </si>
  <si>
    <t>https://www.bomcondutor.pt/escolas/escola/espirito-santo-reis; https://www.andardemoto.pt/escolas-de-conducao/dir/d/leiria/c/batalha/p-2668/escola-de-conducao-espirito-santo-e-reis/</t>
  </si>
  <si>
    <t>Leiria (Capuchos)</t>
  </si>
  <si>
    <t>Escola de Condução Leiriense</t>
  </si>
  <si>
    <t>244 826 606</t>
  </si>
  <si>
    <t>Rua Dr. Agostinho Tinoco, Lote 13 R/C Esq - 2400-084 Leiria</t>
  </si>
  <si>
    <t>https://www.andardemoto.pt/escolas-de-conducao/dir/d/leiria/c/leiria/p-2798/escola-de-conducao-leiriense/; https://www.bomcondutor.pt/escolas/escola/leiriense</t>
  </si>
  <si>
    <t>Louriçal</t>
  </si>
  <si>
    <t>Escola de Condução Louriçal (ex-Batalhense)</t>
  </si>
  <si>
    <t>236 961 647</t>
  </si>
  <si>
    <t>Av. Ernesto Domingos Tavares, 1 - 3105-165 Louriçal</t>
  </si>
  <si>
    <t>https://www.andardemoto.pt/escolas-de-conducao/dir/d/leiria/c/pombal/p-2804/escola-de-conducao-lourical/; https://www.bomcondutor.pt/escolas/escola/batalhense-lourical</t>
  </si>
  <si>
    <t>Escola de Condução Malhoa</t>
  </si>
  <si>
    <t>262 841 174</t>
  </si>
  <si>
    <t>927 492 333 / 915 030 709</t>
  </si>
  <si>
    <t>www.malhoa.pt (domínio já não resolve)</t>
  </si>
  <si>
    <t>https://www.facebook.com/malhoa.escoladeconducao</t>
  </si>
  <si>
    <t>Marcada como "Desativada" no passaprimeira (dados IMT); domínio malhoa.pt inativo</t>
  </si>
  <si>
    <t>Rua General Amílcar Mota, 21 - 2500-209 Caldas da Rainha</t>
  </si>
  <si>
    <t>https://passaprimeira.xyz/distritos-regioes/leiria/concelhos/caldas-da-rainha/escolas/malhoa-01314/; https://www.bomcondutor.pt/escolas/escola/malhoa</t>
  </si>
  <si>
    <t>Escola de Condução Manuel Leal</t>
  </si>
  <si>
    <t>236 212 644</t>
  </si>
  <si>
    <t>https://www.facebook.com/pages/Escola-de-Condução-Manuel-Leal-Lda/211877005522624</t>
  </si>
  <si>
    <t>Sem exames registados em 2021 no IMT/passaprimeira - possivelmente inativa (Cardal opera na mesma avenida, n.º 177)</t>
  </si>
  <si>
    <t>Av. Heróis do Ultramar, 128 r/c - 3100-462 Pombal</t>
  </si>
  <si>
    <t>https://passaprimeira.xyz/distritos-regioes/leiria/concelhos/pombal/escolas/manuel-leal-00552/; https://www.bomcondutor.pt/escolas/escola/manuel-leal</t>
  </si>
  <si>
    <t>Monte Real</t>
  </si>
  <si>
    <t>Escola de Condução Monte Real</t>
  </si>
  <si>
    <t>244 611 908</t>
  </si>
  <si>
    <t>Rua da Base Aérea, 339 - 2425-022 Monte Real</t>
  </si>
  <si>
    <t>https://www.bomcondutor.pt/escolas/escola/monte-real; https://www.andardemoto.pt/escolas-de-conducao/dir/d/leiria/c/leiria/p-3270/monte-real/</t>
  </si>
  <si>
    <t>Escola de Condução Prestige (ex-Malhoa)</t>
  </si>
  <si>
    <t>Mesmo alvará/morada da Malhoa (desativada); sem exames 2021 registados - atividade por confirmar</t>
  </si>
  <si>
    <t>https://passaprimeira.xyz/distritos-regioes/leiria/concelhos/caldas-da-rainha/escolas/prestige-01314/</t>
  </si>
  <si>
    <t>São Mamede</t>
  </si>
  <si>
    <t>Marcada como "Desativada" no passaprimeira (IMT)</t>
  </si>
  <si>
    <t>Estrada do Vale de Ourém, 18, Fr. B - 2495-032 São Mamede</t>
  </si>
  <si>
    <t>https://passaprimeira.xyz/distritos-regioes/leiria/concelhos/batalha/escolas/riachense-01163/</t>
  </si>
  <si>
    <t>Escola de Condução da Nazaré</t>
  </si>
  <si>
    <t>262 551 335</t>
  </si>
  <si>
    <t>Avenida do Município, 4, R/c E - 2450 Nazaré</t>
  </si>
  <si>
    <t>https://www.andardemoto.pt/escolas-de-conducao/dir/d/leiria/c/nazare/p-2564/escola-de-conducao-da-nazare/</t>
  </si>
  <si>
    <t>Andracor</t>
  </si>
  <si>
    <t>Só aparece num diretório antigo e não consta do relatório IMT 2021; possivelmente inativa</t>
  </si>
  <si>
    <t>Rua de Santo António, N.º 5, 2100-201 Coruche</t>
  </si>
  <si>
    <t>https://www.autonews.pt/escolas-de-conducao/dir/d/santarem/c/coruche/p-2109/andracor/</t>
  </si>
  <si>
    <t>Escalabitana</t>
  </si>
  <si>
    <t>Só aparece em diretórios antigos, sem contacto, sem avaliações nem exames IMT 2021 — possivelmente encerrada</t>
  </si>
  <si>
    <t>Praceta Cidade de Badajoz, Lote 8, R/C, 2000-213 Santarém</t>
  </si>
  <si>
    <t>https://www.andardemoto.pt/escolas-de-conducao/dir/d/santarem/c/santarem/p-2327/escalabitana/</t>
  </si>
  <si>
    <t>Vila Nova da Barquinha</t>
  </si>
  <si>
    <t>Escola de Condução Central da Barquinha</t>
  </si>
  <si>
    <t>249 710 033</t>
  </si>
  <si>
    <t>Não consta do relatório IMT 2021; a empresa não tem contas públicas desde 2010 - provavelmente inativa. Confirmar.</t>
  </si>
  <si>
    <t>Rua Marechal Carmona, 69, 2260-438 Vila Nova da Barquinha</t>
  </si>
  <si>
    <t>https://www.testesdecodigogratis.com/escola-de-conducao/central-da-barquinha/; https://www.racius.com/escola-de-conducao-central-da-barquinha-lda/; https://www.andardemoto.pt/escolas-de-conducao/dir/d/santarem/c/vila-nova-da-barquinha/p-2228/central-da-barquinha/</t>
  </si>
  <si>
    <t>Alferrarede</t>
  </si>
  <si>
    <t>Escola de Condução Costa &amp; Junior, Lda</t>
  </si>
  <si>
    <t>Só aparece num diretório antigo e não consta do relatório IMT 2021; possivelmente inativa, por isso convém confirmar antes de visitar</t>
  </si>
  <si>
    <t>Rua Gonçalinha, 124, Alferrarede, Abrantes</t>
  </si>
  <si>
    <t>https://www.portugalio.com/escolas-de-conducao/abrantes/</t>
  </si>
  <si>
    <t>Escola de Condução Estrela do Nabão</t>
  </si>
  <si>
    <t>249 323 067</t>
  </si>
  <si>
    <t>ecestrelanabao@gmail.com</t>
  </si>
  <si>
    <t>http://estrelanabao.blogspot.com/</t>
  </si>
  <si>
    <t>https://www.facebook.com/estreladonabao</t>
  </si>
  <si>
    <t>Encerrou em meados de 2017 (o diretor abriu a TomarDrive em 2019). Não visitar.</t>
  </si>
  <si>
    <t>Rua Diogo Arruda, 6 R/C Esq., 2300-482 Tomar</t>
  </si>
  <si>
    <t>https://tomarnarede.pt/destaque/nova-escola-de-conducao-abre-em-tomar/; https://www.testesdecodigogratis.com/escola-de-conducao/estrela-do-nabao/; https://www.andardemoto.pt/escolas-de-conducao/dir/d/santarem/c/tomar/p-2676/escola-de-conducao-estrela-do-nabao/</t>
  </si>
  <si>
    <t>Minde</t>
  </si>
  <si>
    <t>Escola de Condução Mindense</t>
  </si>
  <si>
    <t>249 840 349</t>
  </si>
  <si>
    <t>939 403 490</t>
  </si>
  <si>
    <t>Não consta do relatório IMT 2021 nem do Google; possivelmente inativa - confirmar antes de visitar.</t>
  </si>
  <si>
    <t>Rua Painel das Almas, 3 R/C, 2395-173 Minde</t>
  </si>
  <si>
    <t>https://www.testesdecodigogratis.com/escola-de-conducao/mindense/; https://www.andardemoto.pt/escolas-de-conducao/dir/d/santarem/c/alcanena/p-2836/escola-de-conducao-mindense/</t>
  </si>
  <si>
    <t>Escola de Condução Pinto e Santos</t>
  </si>
  <si>
    <t>243 679 164</t>
  </si>
  <si>
    <t>A empresa Pinto &amp; Santos, Lda aparece como 'Inativa' na Iberinform; não consta do relatório IMT 2021</t>
  </si>
  <si>
    <t>Rua Vasconcelos Porto, 15, 2100-201 Coruche</t>
  </si>
  <si>
    <t>https://www.autonews.pt/escolas-de-conducao/dir/d/santarem/c/coruche/p-2110/escola-de-conducao-pinto-e-santos/; https://www.iberinform.pt/empresa/21229642/escola-de-conducao-pinto-and-santos-lda</t>
  </si>
  <si>
    <t>Escola de Condução Siiimple Marinhais</t>
  </si>
  <si>
    <t>Grupo Siiimple (rede nacional)</t>
  </si>
  <si>
    <t>263 597 357</t>
  </si>
  <si>
    <t>'As escolas fecharam a 15 de janeiro e depois disso não tivemos mais contacto da escola' (notícia, abr. 2021) https://noticiasdosorraia.sapo.pt/escola-de-conducao-de-marinhais-encerra-e-deixa-alunos-sem-carta-e-sem-dinheiro/</t>
  </si>
  <si>
    <t>Encerrou em 2021, deixando cerca de 100 alunos sem carta (Notícias do Sorraia); considerar inativa</t>
  </si>
  <si>
    <t>Estrada Nacional 367, 2125-125 Marinhais</t>
  </si>
  <si>
    <t>https://noticiasdosorraia.sapo.pt/escola-de-conducao-de-marinhais-encerra-e-deixa-alunos-sem-carta-e-sem-dinheiro/; https://www.testesdecodigogratis.com/escola-de-conducao/marinhais/; https://www.imt-ip.pt/wp-content/uploads/2025/01/EscolasdeConducao-2021.pdf</t>
  </si>
  <si>
    <t>Escola de Condução de Benavente</t>
  </si>
  <si>
    <t>263 516 397</t>
  </si>
  <si>
    <t>Só aparece em diretórios antigos e não consta do relatório IMT 2021 com este nome; possivelmente inativa, por isso convém confirmar</t>
  </si>
  <si>
    <t>Avenida Manuel Lopes de Almeida, 15, 1º Esq, 2130-016 Benavente</t>
  </si>
  <si>
    <t>https://www.bomcondutor.pt/escolas/escola/benavente; https://www.autonews.pt/escolas-de-conducao/dir/d/santarem/c/benavente/p-2585/escola-de-conducao-de-benavente/; https://escolasdeconducao.com/santarem/benavente</t>
  </si>
  <si>
    <t>Carregado (Casal do Sarra)</t>
  </si>
  <si>
    <t>Escola de Condução Damião de Góis</t>
  </si>
  <si>
    <t>263 853 573</t>
  </si>
  <si>
    <t>ecdamiaodegoes@iol.pt</t>
  </si>
  <si>
    <t>Aparentemente encerrada: dissolução e liquidação da sociedade registadas em 2016; não consta do IMT 2021</t>
  </si>
  <si>
    <t>Rua Almeida Garrett, nº 10, Casal do Sarra, 2580-467 Carregado</t>
  </si>
  <si>
    <t>https://www.andardemoto.pt/escolas-de-conducao/dir/d/lisboa/c/alenquer/p-2357/escola-conducao-damiao-gois/; https://www.racius.com/escola-de-conducao-damiao-de-gois-lda/</t>
  </si>
  <si>
    <t>Ramalhal (Barquinha)</t>
  </si>
  <si>
    <t>Escola de Condução Ideal da Barquinha</t>
  </si>
  <si>
    <t>261 911 940</t>
  </si>
  <si>
    <t>Possivelmente inativa: listada no bomcondutor (dados antigos) mas não consta do IMT 2021. O código postal 2565-646 confirma que fica no concelho de Torres Vedras (não é a Vila Nova da Barquinha)</t>
  </si>
  <si>
    <t>Estrada Nacional 8, 2565-646 Torres Vedras</t>
  </si>
  <si>
    <t>https://www.bomcondutor.pt/escolas/escola/ideal-da-barquinha; https://codigopostal.ciberforma.pt/dir/lista/por-concelho/torres-vedras/escolas-de-conducao/</t>
  </si>
  <si>
    <t>Escola de Condução Novo Horizonte (Carregado)</t>
  </si>
  <si>
    <t>263 855 706</t>
  </si>
  <si>
    <t>info@novohorizonte.com</t>
  </si>
  <si>
    <t>Estado incerto: não consta do IMT 2021 com este nome (a licença IMT 'Carregado' tinha esta morada e é hoje a Segurança Máxima Carregado); o domínio novohorizonte.com já pertence a outra empresa. Confirmar se ainda opera</t>
  </si>
  <si>
    <t>Rua Pêro da Covilhã, Lote 98 R/C Dto, 2580-497 Carregado</t>
  </si>
  <si>
    <t>https://www.andardemoto.pt/escolas-de-conducao/dir/d/lisboa/c/alenquer/p-2890/escola-de-conducao-novo-horizonte/; https://www.municipiosefreguesias.pt/entidade/166316/escola-conducao-novo-horizonte-unipessoal--lda--alenquer; https://passaprimeira.xyz/distritos-regioes/lisboa/concelhos/alenquer/escolas/</t>
  </si>
  <si>
    <t>Freiria</t>
  </si>
  <si>
    <t>Escola de Condução da Freiria (Santa Helena da Freiria, Lda.)</t>
  </si>
  <si>
    <t>261 968 051; 261 968 052; 261 968 053</t>
  </si>
  <si>
    <t>Possivelmente inativa: não consta do IMT 2021 nem do Passa à Primeira para Torres Vedras; confirmar</t>
  </si>
  <si>
    <t>Rua Eng. João Augusto Marcos Silva, nº 72, 2565-321 Freiria</t>
  </si>
  <si>
    <t>https://www.bomcondutor.pt/escolas/escola/freiria; https://codigopostal.ciberforma.pt/dir/lista/por-concelho/torres-vedras/escolas-de-conducao/</t>
  </si>
  <si>
    <t>Agência Crisilva Automobilística</t>
  </si>
  <si>
    <t>233 418 394</t>
  </si>
  <si>
    <t>Aparenta inativa: só listada em diretório antigo, ausente do IMT 2021 e de listagens Google</t>
  </si>
  <si>
    <t>Sem presença online recente</t>
  </si>
  <si>
    <t>Praça 8 de Maio, 29, 3080-054 Figueira da Foz</t>
  </si>
  <si>
    <t>https://www.andardemoto.pt/escolas-de-conducao/dir/d/coimbra/c/figueira-da-foz/p-2072/agencia-crisilva-automobilistica/</t>
  </si>
  <si>
    <t>Escola de Condução de Cantanhede</t>
  </si>
  <si>
    <t>231 422 164</t>
  </si>
  <si>
    <t>Aparenta inativa: só em diretórios antigos, sem ficha Google nem entrada IMT 2021 identificada — confirmar</t>
  </si>
  <si>
    <t>Rua Marquês de Marialva, 55, 1º Esq., 3060-184 Cantanhede</t>
  </si>
  <si>
    <t>https://www.andardemoto.pt/escolas-de-conducao/dir/d/coimbra/c/cantanhede/p-2589/escola-de-conducao-de-cantanhede/</t>
  </si>
  <si>
    <t>Escola de Condução Evoluir</t>
  </si>
  <si>
    <t>234 371 732</t>
  </si>
  <si>
    <t>919 865 769</t>
  </si>
  <si>
    <t>https://www.facebook.com/escoladeconducao.evoluir</t>
  </si>
  <si>
    <t>Não aparece nos dados IMT 2019-2021 nem com reviews Google; possivelmente inativa — confirmar</t>
  </si>
  <si>
    <t>Rua da Liberdade, n.º 2/4, 3810-126 Aveiro</t>
  </si>
  <si>
    <t>https://www.bomcondutor.pt/escolas/escola/evoluir; https://www.andardemoto.pt/escolas-de-conducao/dir/d/aveiro/c/aveiro/p-3126/evoluir/</t>
  </si>
  <si>
    <t>Escola de Condução Nova de Vagos</t>
  </si>
  <si>
    <t>234 791 050</t>
  </si>
  <si>
    <t>937 910 505</t>
  </si>
  <si>
    <t>escola.nova@sapo.pt</t>
  </si>
  <si>
    <t>IMT só tem dados de 2019 (37 exames), nada em 2020-2021; possivelmente inativa — confirmar</t>
  </si>
  <si>
    <t>Rua de S. João, Edifício S. João, Bloco A, R/C, 3840-429 Vagos</t>
  </si>
  <si>
    <t>https://passaprimeira.xyz/en/districts-regions/aveiro/municipalities/vagos/schools/; https://www.andardemoto.pt/escolas-de-conducao/dir/d/aveiro/c/vagos/p-2881/escola-de-conducao-nova-de-vagos/; https://vagos.infoisinfo.com.pt/ficha/escola_de_conducao_nova_de_vagos/326696</t>
  </si>
  <si>
    <t>Escola de Condução Pita (A3)</t>
  </si>
  <si>
    <t>234 792 404; 234 792 553</t>
  </si>
  <si>
    <t>Sem dados IMT 2019-2021 nem reviews; possivelmente inativa — confirmar</t>
  </si>
  <si>
    <t>Rua Padre Vicente Maria da Rocha, 120 R/C Dt.º, 3840-453 Vagos</t>
  </si>
  <si>
    <t>https://www.bomcondutor.pt/escolas/escola/pita; https://www.andardemoto.pt/escolas-de-conducao/dir/d/aveiro/c/vagos/p-2002/a-3/</t>
  </si>
  <si>
    <t>Escola de Condução de Sever do Vouga</t>
  </si>
  <si>
    <t>234 551 313</t>
  </si>
  <si>
    <t>Atividade muito baixa (31/17/23 exames 2019-21) e sem presença online — confirmar se ainda opera</t>
  </si>
  <si>
    <t>Arruamento Novo, Lote 8 r/c (IMT: Rua do Comércio, Nº 8 r/c), 3740-251 Sever do Vouga</t>
  </si>
  <si>
    <t>https://passaprimeira.xyz/en/districts-regions/aveiro/municipalities/sever-do-vouga/schools/; https://www.bomcondutor.pt/escolas/escola/sever-do-vouga; https://www.testesdecodigogratis.com/escola-de-conducao/sever-do-vouga/</t>
  </si>
  <si>
    <t>Medados, Cinfães</t>
  </si>
  <si>
    <t>Artur Soares P. Bateira</t>
  </si>
  <si>
    <t>255562195</t>
  </si>
  <si>
    <t>Só aparece em diretórios antigos; sem evidência de atividade nem número IMT 2021 associado; nome de pessoa — provavelmente registo antigo/entidade ligada à E.C. Bateira. Verificar por telefone.</t>
  </si>
  <si>
    <t>Rua Quintela, 2, Medados, 4690-055 Cinfães</t>
  </si>
  <si>
    <t>https://www.andardemoto.pt/escolas-de-conducao/dir/d/viseu/c/cinfaes/p-2126/artur-soares-p-bateira/</t>
  </si>
  <si>
    <t>Repeses</t>
  </si>
  <si>
    <t>Auto Dão / Escola de Condução De Repeses (alvará IMT 1075)</t>
  </si>
  <si>
    <t>Alvará IMT 1075 'De Repeses' nesta morada: últimos exames registados em 2020 (13 provas), ausente do IMT 2021 e das listagens atuais - provavelmente inativa (não confirmado).</t>
  </si>
  <si>
    <t>Rua Stº António nº 55 A, Bairro de Stª Eulália, Viseu</t>
  </si>
  <si>
    <t>https://www.andardemoto.pt/escolas-de-conducao/dir/d/viseu/c/viseu/; https://passaprimeira.xyz/distritos-regioes/viseu/concelhos/viseu/escolas/repeses-01075/</t>
  </si>
  <si>
    <t>Escola de Condução Armando Machado da Cruz, Lda</t>
  </si>
  <si>
    <t>232622482</t>
  </si>
  <si>
    <t>Não consta da lista IMT de escolas de Mangualde (passaprimeira: só Azurara e Miguel Ângelo) – provavelmente encerrada; só aparece em diretórios antigos</t>
  </si>
  <si>
    <t>Quinta Soeima, Lote 9 R/C D, 3530 Mangualde (outra fonte: Av. Liberdade 60)</t>
  </si>
  <si>
    <t>https://www.autonews.pt/escolas-de-conducao/dir/d/viseu/c/mangualde/p-2178/escola-de-conducao-armando-machado-da-cruz/; https://passaprimeira.xyz/distritos-regioes/viseu/concelhos/mangualde/escolas/</t>
  </si>
  <si>
    <t>Escola de Condução Douro</t>
  </si>
  <si>
    <t>255561232</t>
  </si>
  <si>
    <t>Só aparece em diretórios antigos; sem evidência de atividade recente nem número IMT 2021 associado — possivelmente encerrada. Verificar.</t>
  </si>
  <si>
    <t>Largo da Feira, 4690 Cinfães</t>
  </si>
  <si>
    <t>https://www.andardemoto.pt/escolas-de-conducao/dir/d/viseu/c/cinfaes/p-2655/escola-de-conducao-douro/</t>
  </si>
  <si>
    <t>Escola de Condução Europa</t>
  </si>
  <si>
    <t>232981451</t>
  </si>
  <si>
    <t>Não consta da lista IMT de Sátão (passaprimeira: só Sátão e Via Drive) – provavelmente encerrada. O 'EUROPA' do IMT 2021 (586) não foi atribuído</t>
  </si>
  <si>
    <t>Lugar do Picadeiro, Lote 1 R/C Esq, 3560-168 Sátão</t>
  </si>
  <si>
    <t>https://www.autonews.pt/escolas-de-conducao/dir/d/viseu/c/satao/p-3125/europa/; https://passaprimeira.xyz/distritos-regioes/viseu/concelhos/satao/escolas/</t>
  </si>
  <si>
    <t>Escola de Condução Quinita</t>
  </si>
  <si>
    <t>255696133</t>
  </si>
  <si>
    <t>Couto, 4690 Souselo</t>
  </si>
  <si>
    <t>https://www.andardemoto.pt/escolas-de-conducao/dir/d/viseu/c/cinfaes/p-2952/escola-de-conducao-quinita/</t>
  </si>
  <si>
    <t>Campo de Besteiros</t>
  </si>
  <si>
    <t>Escola de Condução Senhora do Calvário</t>
  </si>
  <si>
    <t>Só em diretórios antigos; não consta da lista IMT de Tondela (passaprimeira) – provavelmente encerrada</t>
  </si>
  <si>
    <t>Rua/Av. Dr. Afonso Costa, 3465-051 Campo de Besteiros</t>
  </si>
  <si>
    <t>https://www.autonews.pt/escolas-de-conducao/dir/d/viseu/c/tondela/p-3452/senhora-do-calvario/; https://passaprimeira.xyz/distritos-regioes/viseu/concelhos/tondela/escolas/</t>
  </si>
  <si>
    <t>Escola de Condução Tondeluir / Código Diferente</t>
  </si>
  <si>
    <t>232816051</t>
  </si>
  <si>
    <t>ectondeluir@gmail.com</t>
  </si>
  <si>
    <t>Alvará 1188 desativado – já não consta do site do IMT desde 26/11/2023; apenas 2 provas em 2021</t>
  </si>
  <si>
    <t>Av. Eng. Adelino Amaro da Costa, Lote 1 Lj 844, 3460-009 Tondela</t>
  </si>
  <si>
    <t>https://passaprimeira.xyz/distritos-regioes/viseu/concelhos/tondela/escolas/tondeluir-01188/; https://www.autonews.pt/escolas-de-conducao/dir/d/viseu/c/tondela/p-2248/codigo-diferente/</t>
  </si>
  <si>
    <t>Escola de Condução Viseense (Ensino de Condução Xandey, Lda.)</t>
  </si>
  <si>
    <t>232411244</t>
  </si>
  <si>
    <t>915859066; 932159609</t>
  </si>
  <si>
    <t>ecviriato@outlook.pt; escconducaoviseense@hotmail.com (antigo)</t>
  </si>
  <si>
    <t>Ver Viriato (Portal da Queixa 2022: 'Escola de Condução Viriato (também conhecida por Viseense devido a fusão)')</t>
  </si>
  <si>
    <t>Alvará próprio (IMT 1068 'Visiense', Av. Cidade de Aveiro L7) desativado - deixou de constar no site do IMT em 05/2022; fundida na Viriato. Abordar via linha Viriato (mesmo decisor). Mesma entidade/decisor que Viriato (fusão; IMT 2025 lista Xandey com email ecviriato@outlook.pt; Etapas &amp; Objectivos na mesma morada com tel. 232422907). Abordar em conjunto com Viriato. Estado como polo de ensino incerto: viseense.pt já não resolve (DNS) e a página FB Viseense.AC não carrega; sem linha própria no IMT 2021.</t>
  </si>
  <si>
    <t>Avenida Cidade de Aveiro, Lote 12 R/C (Loja D), 3510-720 Viseu</t>
  </si>
  <si>
    <t>https://www.imt-ip.pt/wp-content/uploads/2025/07/EntidadesReconhecidas-IMT-MinistracaoDeCursosDeFormacao.pdf; https://portaldaqueixa.com/brands/escola-de-conducao-viriato/complaints/escola-de-conducao-viriato-carta-de-conducao-70821422; https://www.andardemoto.pt/escolas-de-conducao/dir/d/viseu/c/viseu/p-2314/escola-de-conducao-viseense/; https://www.bomcondutor.pt/escolas/escola/viseense; https://passaprimeira.xyz/distritos-regioes/viseu/concelhos/viseu/escolas/visiense-01068/</t>
  </si>
  <si>
    <t>Nelense</t>
  </si>
  <si>
    <t>Só em diretórios antigos; não consta da lista IMT de Nelas (passaprimeira: Nelas, Santarense, Vitor Arede) – provavelmente encerrada</t>
  </si>
  <si>
    <t>Rua Dr. Eurico Amaral 17, 3520-001 Nelas</t>
  </si>
  <si>
    <t>https://www.autonews.pt/escolas-de-conducao/dir/d/viseu/c/nelas/p-3279/nelense/; https://passaprimeira.xyz/distritos-regioes/viseu/concelhos/nelas/escolas/</t>
  </si>
  <si>
    <t>Escola de Condução Sertaginense (Almeida, Rodrigues &amp; Filhas, Lda)</t>
  </si>
  <si>
    <t>274601198</t>
  </si>
  <si>
    <t>Sem dados de exames IMT 2015-2021 nem presença online; atividade não confirmada</t>
  </si>
  <si>
    <t>Rua de Proença-a-Nova, 6100-751 Sertã</t>
  </si>
  <si>
    <t>https://escolasconducao.com/escola/escola-de-conducao-sertaginense-de-almeidarodrigues-filhas-lda; https://www.andardemoto.pt/escolas-de-conducao/dir/d/castelo-branco/c/serta/p-3029/escola-de-conducao-sertagenense/</t>
  </si>
  <si>
    <t>Escola de Condução Testa, Unipessoal Lda (marca comercial não identificada)</t>
  </si>
  <si>
    <t>Só existe em registo empresarial; não foi possível confirmar marca nem atividade</t>
  </si>
  <si>
    <t>Rua Dr. Alfredo da Silva, nº 43, 6000-210 Castelo Branco</t>
  </si>
  <si>
    <t>https://escolasconducao.com/escola/escola-de-conducao-testa-unipessoal-lda</t>
  </si>
  <si>
    <t>João Salvado, Unipessoal Lda (marca comercial não identificada)</t>
  </si>
  <si>
    <t>Só em registo empresarial (CAE escolas de condução); atividade/marca não confirmadas</t>
  </si>
  <si>
    <t>Avenida Dr. Alfredo Mendes Gil, 14 - 2º Dto, 6230-287 Fundão</t>
  </si>
  <si>
    <t>https://escolasconducao.com/escola/joao-salvado-unipessoal-lda</t>
  </si>
  <si>
    <t>Mariana Santos, Unipessoal Lda (marca comercial não identificada)</t>
  </si>
  <si>
    <t>Só em registo empresarial; atividade/marca não confirmadas</t>
  </si>
  <si>
    <t>Rua Baden Powell, Nº 2, R/c Dto, 6100-597 Sertã</t>
  </si>
  <si>
    <t>https://escolasconducao.com/escola/mariana-santos-unipessoal-lda</t>
  </si>
  <si>
    <t>Escola de Condução Auto Dinâmica</t>
  </si>
  <si>
    <t>271811260</t>
  </si>
  <si>
    <t>Sem dados de exames IMT; listagem antiga - atividade não confirmada</t>
  </si>
  <si>
    <t>N226, Trancoso</t>
  </si>
  <si>
    <t>https://escola-de-conducao.pt/escola-de-conducao-auto-dinamica-307159.html; https://www.andardemoto.pt/escolas-de-conducao/dir/d/guarda/c/trancoso/p-2464/escola-de-conducao-auto-dinamica/</t>
  </si>
  <si>
    <t>Paranhos da Beira</t>
  </si>
  <si>
    <t>Escola de Condução Rota da Estrela</t>
  </si>
  <si>
    <t>238978679</t>
  </si>
  <si>
    <t>http://www.rotadaestrela.pt (não resolve)</t>
  </si>
  <si>
    <t>Sem dados de exames publicados e site em baixo - possivelmente inativa</t>
  </si>
  <si>
    <t>Rua do Comércio, nº 173 r/c, 6270-133 Paranhos da Beira (Seia)</t>
  </si>
  <si>
    <t>https://passaprimeira.xyz/distritos-regioes/guarda/concelhos/seia/escolas/rota-da-estrela-01014/; https://www.andardemoto.pt/escolas-de-conducao/dir/d/guarda/c/seia/p-3383/rota-da-estrela/; https://www.testesdecodigogratis.com/escola-de-conducao/rota-da-estrela/</t>
  </si>
  <si>
    <t>Fasquia de Resultados - Unipessoal Lda (marca comercial não identificada)</t>
  </si>
  <si>
    <t>Só em registo empresarial; pode ser a sociedade da E.C. Beatriz - não confirmado</t>
  </si>
  <si>
    <t>Bairro da Vinha Velha, Nº 25, 6290-651 Gouveia</t>
  </si>
  <si>
    <t>https://escolasconducao.com/escola/fasquia-de-resultados-unipessoal-lda</t>
  </si>
  <si>
    <t>Convlyx · CRM de escolas da região Centro</t>
  </si>
  <si>
    <t>Separadores</t>
  </si>
  <si>
    <t>Leads: uma linha por escola/delegação. As colunas a amarelo são as de trabalho (Estado, Responsável, Ângulo, Contacto, próxima ação, notas). As restantes vêm da pesquisa de 8 de outubro de 2026.</t>
  </si>
  <si>
    <t>Modelos: os textos dos emails da sequência (C1 a C4) e da mensagem de WhatsApp (D1). Pode editá-los: o script usa sempre a versão desta folha.</t>
  </si>
  <si>
    <t>Config: emails, terra e assinatura de cada um, limite diário de envios e ID do folheto no Google Drive.</t>
  </si>
  <si>
    <t>Painel: contagens automáticas por estado, distrito e prioridade.</t>
  </si>
  <si>
    <t>Estados</t>
  </si>
  <si>
    <t>Novo → Em sequência (email automático) → Respondeu → Visita marcada → Demo feita → Em teste → Cliente.  Saídas: Perdido (diz não ou pede para não ser contactada) · Arrefecer (sem resposta; volta daqui a 90 dias).</t>
  </si>
  <si>
    <t>A = grupo com várias escolas/delegações, OU queixas públicas com avaliação Google abaixo de 4,3, OU 300 ou mais exames em 2021 (escola grande) · B = restantes · C = parece inativa ou já tem app própria. Dentro do A, comecem pelos grupos e pela distância a Leiria. A coluna "Motivo prioridade" tem a justificação da pesquisa.</t>
  </si>
  <si>
    <t>Ordena as escolas dentro de cada prioridade: grupo +3; queixas públicas +1,5 (ou +0,5 se a avaliação for boa); Google abaixo de 3,8 +1; dimensão até +3 (exames de 2021 ÷ 250); proximidade de Leiria até +2. A folha já vem ordenada por Prioridade e Pontuação: as primeiras linhas são as primeiras escolas a contactar.</t>
  </si>
  <si>
    <t>Rotina</t>
  </si>
  <si>
    <t>Domingo, 20h (os dois): ver as respostas e as escolas em teste. O Francisco põe as 10 a 15 escolas seguintes por ordem de Pontuação em Estado = Em sequência (se tiverem email) e confirma o Ângulo. O Pedro decide a quem liga e a quem envia WhatsApp. O Pedro é o Responsável de todas as escolas. As visitas são exceção (regras no Plano Comercial, secção 5).</t>
  </si>
  <si>
    <t>Atenção</t>
  </si>
  <si>
    <t>Os dados vêm de fontes públicas (sites das escolas, diretórios, Google, redes sociais) e podem estar desatualizados. Confirmem antes de visitar. Os sinais de dor servem para escolher a quem escrever, nunca para os citar à escola.</t>
  </si>
  <si>
    <t>Se uma escola pedir para não ser contactada: Estado = Perdido e "não contactar" nas Notas.</t>
  </si>
  <si>
    <t>Chave</t>
  </si>
  <si>
    <t>Assunto</t>
  </si>
  <si>
    <t>Corpo</t>
  </si>
  <si>
    <t>C1-telefone</t>
  </si>
  <si>
    <t>Alunos da {escola} a ligar para saber horários</t>
  </si>
  <si>
    <t>Bom dia {nome},
Sou o {remetente} e desenvolvo, com um colega, uma app para escolas de condução aqui da zona Centro.
Na maioria das escolas que conhecemos, as aulas práticas marcam-se por telefone e WhatsApp. O problema aparece quando há um cancelamento: alguém tem de avisar os alunos um a um.
O Convlyx dá a cada aluno e instrutor uma app no telemóvel com as suas aulas. Quando uma aula muda, todos os inscritos recebem o aviso no momento. Funciona ao lado do programa que já usam para o IMT, sem trocar nada.
Estamos a abrir o programa a 10 escolas fundadoras, com 3 meses grátis e montagem feita por nós. Posso enviar-lhe um vídeo de 3 minutos a mostrar como funciona?
Cumprimentos,
{remetente}
{assinatura}</t>
  </si>
  <si>
    <t>C1-grupo</t>
  </si>
  <si>
    <t>{grupo}: uma app para os alunos de todas as escolas</t>
  </si>
  <si>
    <t>Bom dia {nome},
Sou o {remetente}, do Convlyx. Vi que o {grupo} tem várias escolas na região. Imagino que coordenar instrutores, aulas e avisos entre elas dá bastante trabalho.
Fizemos o Convlyx para isso. Cada escola tem o seu espaço, com os dados separados, e os alunos e instrutores de todas usam a mesma app no telemóvel: aulas, cancelamentos com aviso automático, e presenças nas teóricas por QR. Não substitui o vosso software do IMT; funciona ao lado dele.
Para grupos, as primeiras escolas entram como fundadoras: 3 meses grátis, e depois um preço fixo por escola. Posso enviar-lhe um vídeo de 3 minutos? Se fizer sentido, montamos já o espaço de uma das vossas escolas para verem a funcionar.
Cumprimentos,
{remetente}
{assinatura}</t>
  </si>
  <si>
    <t>C1-teoricas</t>
  </si>
  <si>
    <t>Folha de presenças das teóricas</t>
  </si>
  <si>
    <t>Bom dia {nome},
Pergunta rápida: na {escola}, as presenças das teóricas ainda se fazem numa folha que passa de mão em mão?
Desenvolvemos uma forma mais simples: o instrutor projeta um QR, cada aluno confirma a presença com o telemóvel em segundos, e no fim sai a folha em PDF. O código muda a cada poucos segundos, por isso uma fotografia enviada a um amigo não serve.
Faz parte do Convlyx, uma app para alunos e instrutores que funciona ao lado do programa do IMT que já usam. Estamos a convidar 10 escolas da zona Centro a experimentarem 3 meses sem pagar. Posso enviar-lhe um vídeo de 3 minutos a mostrar como funciona?
Cumprimentos,
{remetente}
{assinatura}</t>
  </si>
  <si>
    <t>C2</t>
  </si>
  <si>
    <t>(segue no mesmo fio)</t>
  </si>
  <si>
    <t>{nome}, só para garantir que isto não ficou perdido na caixa de entrada.
Se for mais fácil, monto já um espaço com o nome da {escola}, para experimentarem com 2 ou 3 alunos, sem compromisso nenhum. Quer?
{remetente}</t>
  </si>
  <si>
    <t>C3</t>
  </si>
  <si>
    <t>O que acontece quando um instrutor fica doente</t>
  </si>
  <si>
    <t>Bom dia {nome},
Numa escola com 4 instrutores, um instrutor doente significa 4 a 6 alunos a avisar antes das 9h, normalmente por telefone e um de cada vez.
No Convlyx, o instrutor carrega em "Não posso dar esta aula" e todos os inscritos recebem o aviso no telemóvel ao mesmo tempo. A secretaria só tem de remarcar.
Deixo-lhe em anexo uma folha com o que a app faz e quanto custa. Ainda temos vagas de Escola Fundadora (3 meses grátis) até ao fim do ano.
Cumprimentos,
{remetente}
{assinatura}</t>
  </si>
  <si>
    <t>C4</t>
  </si>
  <si>
    <t>{nome}, não quero encher-lhe a caixa de correio, por isso este é o meu último email.
Se um dia a app para alunos fizer sentido para a {escola}, basta responder a esta mensagem e trato de tudo. E se puder dizer-me numa linha porque não é para já ("já temos solução", "não é prioridade", "preço"…), agradeço muito.
Bom trabalho,
{remetente}</t>
  </si>
  <si>
    <t>D1</t>
  </si>
  <si>
    <t>(WhatsApp: copiar e colar depois de clicar em Abrir WhatsApp)</t>
  </si>
  <si>
    <t>Bom dia! O meu nome é {remetente} e sou de {terra}. Desenvolvemos uma app para alunos e instrutores de escolas de condução: aulas no telemóvel e aviso automático quando uma aula é cancelada. Funciona ao lado do programa que a escola já usa. Estamos a convidar 10 escolas da zona a experimentar 3 meses grátis. Posso enviar-lhe uma folha com a informação?</t>
  </si>
  <si>
    <t>Variáveis: {nome} (1.º nome do Contacto; se estiver vazio, a saudação fica "Bom dia,"), {escola}, {grupo}, {concelho}, {remetente}, {terra}, {assinatura}. O C1 usado depende da coluna Ângulo (telefone / grupo / teoricas). C2 e C4 seguem como "Re:" do C1. A C3 leva o folheto em anexo (Config → FOLHETO_DRIVE_ID).</t>
  </si>
  <si>
    <t>Valor</t>
  </si>
  <si>
    <t>Descrição</t>
  </si>
  <si>
    <t>EMAIL_Pedro</t>
  </si>
  <si>
    <t>Email Gmail com que o Pedro corre o script (tem de coincidir com o nome na coluna Responsável)</t>
  </si>
  <si>
    <t>EMAIL_Francisco</t>
  </si>
  <si>
    <t>Email Gmail com que o Francisco corre o script</t>
  </si>
  <si>
    <t>TERRA_Pedro</t>
  </si>
  <si>
    <t>Usado em "sou de {terra}"</t>
  </si>
  <si>
    <t>TERRA_Francisco</t>
  </si>
  <si>
    <t>ASSINATURA_Pedro</t>
  </si>
  <si>
    <t>Convlyx · convlyx.com</t>
  </si>
  <si>
    <t>Linha por baixo do nome (sugestão: acrescentar o telemóvel)</t>
  </si>
  <si>
    <t>ASSINATURA_Francisco</t>
  </si>
  <si>
    <t>Linha por baixo do nome</t>
  </si>
  <si>
    <t>MAX_POR_DIA</t>
  </si>
  <si>
    <t>Máximo de emails da sequência por dia e por pessoa</t>
  </si>
  <si>
    <t>DIAS_ENVIO</t>
  </si>
  <si>
    <t>2,3,4</t>
  </si>
  <si>
    <t>Dias da semana em que se enviam emails (1=seg … 5=sex). Por omissão, de terça a quinta.</t>
  </si>
  <si>
    <t>FOLHETO_DRIVE_ID</t>
  </si>
  <si>
    <t>ID no Google Drive do 03-folheto-escolas-fundadoras.pdf (a parte do link entre /d/ e /view)</t>
  </si>
  <si>
    <t>RODAPE</t>
  </si>
  <si>
    <t>Se preferir não receber mais emails meus sobre isto, basta responder com um "não" e não volto a escrever.</t>
  </si>
  <si>
    <t>Acrescentado a todos os emails (forma de oposição)</t>
  </si>
  <si>
    <t>Painel (atualiza sozinho)</t>
  </si>
  <si>
    <t>N.º escolas</t>
  </si>
  <si>
    <t>Em sequência</t>
  </si>
  <si>
    <t>Respondeu</t>
  </si>
  <si>
    <t>Visita marcada</t>
  </si>
  <si>
    <t>Demo feita</t>
  </si>
  <si>
    <t>Em teste</t>
  </si>
  <si>
    <t>Cliente</t>
  </si>
  <si>
    <t>Perdido</t>
  </si>
  <si>
    <t>Arrefecer</t>
  </si>
  <si>
    <t>Total</t>
  </si>
  <si>
    <t>Funil</t>
  </si>
  <si>
    <t>Contactadas (saíram de Novo)</t>
  </si>
  <si>
    <t>Responderam ou mais à frente</t>
  </si>
  <si>
    <t>Em teste + clientes</t>
  </si>
  <si>
    <t>Clientes</t>
  </si>
  <si>
    <t>Taxa de resposta</t>
  </si>
  <si>
    <t>Conversa →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</si>
</sst>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rgb="FF137A43"/>
      <name val="Arial"/>
    </font>
    <font>
      <sz val="10"/>
      <color rgb="FF111827"/>
      <name val="Arial"/>
    </font>
    <font>
      <b/>
      <sz val="10"/>
      <color rgb="FF137A43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137A43"/>
      <name val="Arial"/>
    </font>
    <font>
      <b/>
      <sz val="10"/>
      <name val="Arial"/>
    </font>
    <font>
      <i/>
      <sz val="9"/>
      <color rgb="FF6B7280"/>
      <name val="Arial"/>
    </font>
    <font>
      <b/>
      <sz val="13"/>
      <color rgb="FF137A43"/>
      <name val="Arial"/>
    </font>
    <font>
      <b/>
      <sz val="11"/>
      <name val="Arial"/>
    </font>
    <font>
      <b/>
      <sz val="11"/>
      <color rgb="FF137A43"/>
      <name val="Arial"/>
    </font>
  </fonts>
  <fills count="4">
    <fill>
      <patternFill patternType="none"/>
    </fill>
    <fill>
      <patternFill patternType="gray125"/>
    </fill>
    <fill>
      <patternFill patternType="solid">
        <fgColor rgb="FF0D3B24"/>
      </patternFill>
    </fill>
    <fill>
      <patternFill patternType="solid">
        <fgColor rgb="FFFFF9D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CE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0" borderId="1" xfId="0" applyFont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4" fontId="5" fillId="3" borderId="1" xfId="0" applyNumberFormat="1" applyFont="1" applyFill="1" applyBorder="1" applyAlignment="1">
      <alignment vertical="top"/>
    </xf>
    <xf numFmtId="14" fontId="5" fillId="0" borderId="1" xfId="0" applyNumberFormat="1" applyFont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5" fillId="3" borderId="0" xfId="0" applyFont="1" applyFill="1" applyAlignment="1">
      <alignment vertical="top" wrapText="1"/>
    </xf>
    <xf numFmtId="0" fontId="9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164" fontId="5" fillId="0" borderId="0" xfId="0" applyNumberFormat="1" applyFont="1"/>
  </cellXfs>
  <cellStyles count="1">
    <cellStyle name="Normal" xfId="0" builtinId="0"/>
  </cellStyles>
  <dxfs count="4">
    <dxf>
      <font>
        <b/>
      </font>
      <fill>
        <patternFill patternType="solid">
          <fgColor rgb="FFFDE68A"/>
        </patternFill>
      </fill>
    </dxf>
    <dxf>
      <font>
        <b/>
        <color rgb="FF0D3B24"/>
      </font>
      <fill>
        <patternFill patternType="solid">
          <fgColor rgb="FFBBF7D0"/>
        </patternFill>
      </fill>
    </dxf>
    <dxf>
      <font>
        <color rgb="FF9CA3AF"/>
      </font>
    </dxf>
    <dxf>
      <fill>
        <patternFill patternType="solid">
          <fgColor rgb="FFDCF5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ecviamaior" TargetMode="External"/><Relationship Id="rId299" Type="http://schemas.openxmlformats.org/officeDocument/2006/relationships/hyperlink" Target="https://www.facebook.com/MUNDOdriver-101330088241898" TargetMode="External"/><Relationship Id="rId21" Type="http://schemas.openxmlformats.org/officeDocument/2006/relationships/hyperlink" Target="https://www.facebook.com/grupobatalhense" TargetMode="External"/><Relationship Id="rId63" Type="http://schemas.openxmlformats.org/officeDocument/2006/relationships/hyperlink" Target="http://www.eccaldas.pt/" TargetMode="External"/><Relationship Id="rId159" Type="http://schemas.openxmlformats.org/officeDocument/2006/relationships/hyperlink" Target="https://www.facebook.com/AltaCilindradaECAzurva/" TargetMode="External"/><Relationship Id="rId324" Type="http://schemas.openxmlformats.org/officeDocument/2006/relationships/hyperlink" Target="https://www.facebook.com/escoladeconducaosantarense/" TargetMode="External"/><Relationship Id="rId170" Type="http://schemas.openxmlformats.org/officeDocument/2006/relationships/hyperlink" Target="https://www.escola-acereja.com/" TargetMode="External"/><Relationship Id="rId226" Type="http://schemas.openxmlformats.org/officeDocument/2006/relationships/hyperlink" Target="https://www.facebook.com/econducao100porcento/" TargetMode="External"/><Relationship Id="rId268" Type="http://schemas.openxmlformats.org/officeDocument/2006/relationships/hyperlink" Target="http://www.ecbelita.com/" TargetMode="External"/><Relationship Id="rId32" Type="http://schemas.openxmlformats.org/officeDocument/2006/relationships/hyperlink" Target="https://www.facebook.com/escolarotadosol" TargetMode="External"/><Relationship Id="rId74" Type="http://schemas.openxmlformats.org/officeDocument/2006/relationships/hyperlink" Target="https://www.facebook.com/escolaconducao.egamelas" TargetMode="External"/><Relationship Id="rId128" Type="http://schemas.openxmlformats.org/officeDocument/2006/relationships/hyperlink" Target="https://ecabadias.pt/" TargetMode="External"/><Relationship Id="rId335" Type="http://schemas.openxmlformats.org/officeDocument/2006/relationships/hyperlink" Target="https://www.facebook.com/escolaviadrive/" TargetMode="External"/><Relationship Id="rId5" Type="http://schemas.openxmlformats.org/officeDocument/2006/relationships/hyperlink" Target="https://www.facebook.com/grupo.seguranca.maxima" TargetMode="External"/><Relationship Id="rId181" Type="http://schemas.openxmlformats.org/officeDocument/2006/relationships/hyperlink" Target="https://www.facebook.com/people/Destinus/100070698740665/" TargetMode="External"/><Relationship Id="rId237" Type="http://schemas.openxmlformats.org/officeDocument/2006/relationships/hyperlink" Target="https://www.facebook.com/ecgraovasco" TargetMode="External"/><Relationship Id="rId279" Type="http://schemas.openxmlformats.org/officeDocument/2006/relationships/hyperlink" Target="https://www.facebook.com/ec.via.principal" TargetMode="External"/><Relationship Id="rId43" Type="http://schemas.openxmlformats.org/officeDocument/2006/relationships/hyperlink" Target="https://www.alcobacense.com/" TargetMode="External"/><Relationship Id="rId139" Type="http://schemas.openxmlformats.org/officeDocument/2006/relationships/hyperlink" Target="https://www.tecnicadovolante.com/" TargetMode="External"/><Relationship Id="rId290" Type="http://schemas.openxmlformats.org/officeDocument/2006/relationships/hyperlink" Target="http://www.facebook.com/escolaconducao.todossantos" TargetMode="External"/><Relationship Id="rId304" Type="http://schemas.openxmlformats.org/officeDocument/2006/relationships/hyperlink" Target="https://www.facebook.com/covilhanense.escoladeconducao/" TargetMode="External"/><Relationship Id="rId346" Type="http://schemas.openxmlformats.org/officeDocument/2006/relationships/hyperlink" Target="https://www.facebook.com/ECFornosAlgodres/" TargetMode="External"/><Relationship Id="rId85" Type="http://schemas.openxmlformats.org/officeDocument/2006/relationships/hyperlink" Target="https://www.facebook.com/ecmarialva/" TargetMode="External"/><Relationship Id="rId150" Type="http://schemas.openxmlformats.org/officeDocument/2006/relationships/hyperlink" Target="https://www.instagram.com/escola.conducao.ilhavo/" TargetMode="External"/><Relationship Id="rId192" Type="http://schemas.openxmlformats.org/officeDocument/2006/relationships/hyperlink" Target="https://www.facebook.com/escola.conducao.lourinha/" TargetMode="External"/><Relationship Id="rId206" Type="http://schemas.openxmlformats.org/officeDocument/2006/relationships/hyperlink" Target="http://www.educacao-rodoviaria.pt/ec-penedonense/" TargetMode="External"/><Relationship Id="rId248" Type="http://schemas.openxmlformats.org/officeDocument/2006/relationships/hyperlink" Target="https://www.facebook.com/escolaconducaoirmaostavares/" TargetMode="External"/><Relationship Id="rId12" Type="http://schemas.openxmlformats.org/officeDocument/2006/relationships/hyperlink" Target="https://grupocaldas.pt/site/ecscallabis/" TargetMode="External"/><Relationship Id="rId108" Type="http://schemas.openxmlformats.org/officeDocument/2006/relationships/hyperlink" Target="https://www.facebook.com/pages/Escolas-Condu%C3%A7%C3%A3o-Traquina-e-Sardoalense/114156232091227" TargetMode="External"/><Relationship Id="rId315" Type="http://schemas.openxmlformats.org/officeDocument/2006/relationships/hyperlink" Target="https://www.instagram.com/ecirmaosgoncalves" TargetMode="External"/><Relationship Id="rId357" Type="http://schemas.openxmlformats.org/officeDocument/2006/relationships/hyperlink" Target="https://www.facebook.com/rotada.estrela" TargetMode="External"/><Relationship Id="rId54" Type="http://schemas.openxmlformats.org/officeDocument/2006/relationships/hyperlink" Target="https://www.instagram.com/escoladeconducaoviriato" TargetMode="External"/><Relationship Id="rId96" Type="http://schemas.openxmlformats.org/officeDocument/2006/relationships/hyperlink" Target="https://www.motoschool.pt/" TargetMode="External"/><Relationship Id="rId161" Type="http://schemas.openxmlformats.org/officeDocument/2006/relationships/hyperlink" Target="https://www.facebook.com/estarrejense.escoladeconducao/" TargetMode="External"/><Relationship Id="rId217" Type="http://schemas.openxmlformats.org/officeDocument/2006/relationships/hyperlink" Target="https://www.facebook.com/EscolaConducaoViaDinamica/" TargetMode="External"/><Relationship Id="rId259" Type="http://schemas.openxmlformats.org/officeDocument/2006/relationships/hyperlink" Target="https://escola-de-conducao-miguel-angelo.negocio.site/" TargetMode="External"/><Relationship Id="rId23" Type="http://schemas.openxmlformats.org/officeDocument/2006/relationships/hyperlink" Target="https://www.facebook.com/ECLagoAzul" TargetMode="External"/><Relationship Id="rId119" Type="http://schemas.openxmlformats.org/officeDocument/2006/relationships/hyperlink" Target="https://escolasmiguelsilva.pt/" TargetMode="External"/><Relationship Id="rId270" Type="http://schemas.openxmlformats.org/officeDocument/2006/relationships/hyperlink" Target="https://www.facebook.com/eclizauto/" TargetMode="External"/><Relationship Id="rId326" Type="http://schemas.openxmlformats.org/officeDocument/2006/relationships/hyperlink" Target="https://www.facebook.com/albinstrutora.escoladeconducao" TargetMode="External"/><Relationship Id="rId65" Type="http://schemas.openxmlformats.org/officeDocument/2006/relationships/hyperlink" Target="https://www.facebook.com/eccapasnegras" TargetMode="External"/><Relationship Id="rId130" Type="http://schemas.openxmlformats.org/officeDocument/2006/relationships/hyperlink" Target="https://www.facebook.com/escolasgrupomga" TargetMode="External"/><Relationship Id="rId172" Type="http://schemas.openxmlformats.org/officeDocument/2006/relationships/hyperlink" Target="https://leiridrive.pt/" TargetMode="External"/><Relationship Id="rId228" Type="http://schemas.openxmlformats.org/officeDocument/2006/relationships/hyperlink" Target="https://ecriomaiorense.pt/" TargetMode="External"/><Relationship Id="rId281" Type="http://schemas.openxmlformats.org/officeDocument/2006/relationships/hyperlink" Target="https://www.facebook.com/ecidadeflorida/" TargetMode="External"/><Relationship Id="rId337" Type="http://schemas.openxmlformats.org/officeDocument/2006/relationships/hyperlink" Target="https://www.facebook.com/people/Escola-de-Condu%C3%A7%C3%A3o-Nobel/100067016984178/" TargetMode="External"/><Relationship Id="rId34" Type="http://schemas.openxmlformats.org/officeDocument/2006/relationships/hyperlink" Target="https://www.facebook.com/p/Escola-de-Condu%C3%A7%C3%A3o-Nova-Paredes-100057583264805/" TargetMode="External"/><Relationship Id="rId76" Type="http://schemas.openxmlformats.org/officeDocument/2006/relationships/hyperlink" Target="https://www.facebook.com/pages/Escola-de-Condu&#231;&#227;o-Batalhense-de-Alcoba&#231;a/102711916581909" TargetMode="External"/><Relationship Id="rId141" Type="http://schemas.openxmlformats.org/officeDocument/2006/relationships/hyperlink" Target="https://www.facebook.com/Abranjovem/" TargetMode="External"/><Relationship Id="rId7" Type="http://schemas.openxmlformats.org/officeDocument/2006/relationships/hyperlink" Target="https://www.segurancamaxima.pt/escolas-de-conducao/escola-de-conducao-do-carregado/" TargetMode="External"/><Relationship Id="rId183" Type="http://schemas.openxmlformats.org/officeDocument/2006/relationships/hyperlink" Target="https://escolasmiguelsilva.pt/contact-aguada/" TargetMode="External"/><Relationship Id="rId239" Type="http://schemas.openxmlformats.org/officeDocument/2006/relationships/hyperlink" Target="https://anovadeestarreja.pt/" TargetMode="External"/><Relationship Id="rId250" Type="http://schemas.openxmlformats.org/officeDocument/2006/relationships/hyperlink" Target="https://www.facebook.com/p/Escola-de-Condu%C3%A7%C3%A3o-Zig-Zag-100071440818889/" TargetMode="External"/><Relationship Id="rId292" Type="http://schemas.openxmlformats.org/officeDocument/2006/relationships/hyperlink" Target="https://www.facebook.com/p/Escola-de-Condu%C3%A7%C3%A3o-de-Albergaria-a-Velha-100042599126343/" TargetMode="External"/><Relationship Id="rId306" Type="http://schemas.openxmlformats.org/officeDocument/2006/relationships/hyperlink" Target="https://www.facebook.com/e.c.conduirfrb/" TargetMode="External"/><Relationship Id="rId45" Type="http://schemas.openxmlformats.org/officeDocument/2006/relationships/hyperlink" Target="https://www.instagram.com/esc_alcobacense/" TargetMode="External"/><Relationship Id="rId87" Type="http://schemas.openxmlformats.org/officeDocument/2006/relationships/hyperlink" Target="https://www.facebook.com/pages/category/Local-Business/Escola-de-condu%C3%A7%C3%A3o-Penacova-578809955516068/" TargetMode="External"/><Relationship Id="rId110" Type="http://schemas.openxmlformats.org/officeDocument/2006/relationships/hyperlink" Target="https://ec-santamaria.com/" TargetMode="External"/><Relationship Id="rId348" Type="http://schemas.openxmlformats.org/officeDocument/2006/relationships/hyperlink" Target="https://www.instagram.com/esc.semaforo/" TargetMode="External"/><Relationship Id="rId152" Type="http://schemas.openxmlformats.org/officeDocument/2006/relationships/hyperlink" Target="https://www.facebook.com/ESC.AGOMES.COVILHA/" TargetMode="External"/><Relationship Id="rId194" Type="http://schemas.openxmlformats.org/officeDocument/2006/relationships/hyperlink" Target="https://www.facebook.com/groups/103044579749717/" TargetMode="External"/><Relationship Id="rId208" Type="http://schemas.openxmlformats.org/officeDocument/2006/relationships/hyperlink" Target="https://www.facebook.com/p/Escola-de-Condu%C3%A7%C3%A3o-de-Nelas-100054678553366/" TargetMode="External"/><Relationship Id="rId261" Type="http://schemas.openxmlformats.org/officeDocument/2006/relationships/hyperlink" Target="http://www.saliscruz.com/" TargetMode="External"/><Relationship Id="rId14" Type="http://schemas.openxmlformats.org/officeDocument/2006/relationships/hyperlink" Target="https://www.instagram.com/grupocaldas/" TargetMode="External"/><Relationship Id="rId56" Type="http://schemas.openxmlformats.org/officeDocument/2006/relationships/hyperlink" Target="https://www.facebook.com/escolaesteves" TargetMode="External"/><Relationship Id="rId317" Type="http://schemas.openxmlformats.org/officeDocument/2006/relationships/hyperlink" Target="https://www.facebook.com/ecnovaalbergaria/" TargetMode="External"/><Relationship Id="rId98" Type="http://schemas.openxmlformats.org/officeDocument/2006/relationships/hyperlink" Target="https://www.instagram.com/motoschool_oficial/" TargetMode="External"/><Relationship Id="rId121" Type="http://schemas.openxmlformats.org/officeDocument/2006/relationships/hyperlink" Target="https://www.instagram.com/escolas.miguel.silva/" TargetMode="External"/><Relationship Id="rId163" Type="http://schemas.openxmlformats.org/officeDocument/2006/relationships/hyperlink" Target="https://www.escolaconducaoconvida.pt/" TargetMode="External"/><Relationship Id="rId219" Type="http://schemas.openxmlformats.org/officeDocument/2006/relationships/hyperlink" Target="https://www.facebook.com/PombalEC/" TargetMode="External"/><Relationship Id="rId230" Type="http://schemas.openxmlformats.org/officeDocument/2006/relationships/hyperlink" Target="https://www.facebook.com/escoladeconducaoaurora/" TargetMode="External"/><Relationship Id="rId25" Type="http://schemas.openxmlformats.org/officeDocument/2006/relationships/hyperlink" Target="https://www.facebook.com/grupobatalhense" TargetMode="External"/><Relationship Id="rId46" Type="http://schemas.openxmlformats.org/officeDocument/2006/relationships/hyperlink" Target="https://www.espadaeoliveira.pt/ouriense.php" TargetMode="External"/><Relationship Id="rId67" Type="http://schemas.openxmlformats.org/officeDocument/2006/relationships/hyperlink" Target="https://batalhense.com/escolas/escola-de-conducao-batalhense-leiria-d-dinis/" TargetMode="External"/><Relationship Id="rId272" Type="http://schemas.openxmlformats.org/officeDocument/2006/relationships/hyperlink" Target="https://www.bavi.pt/" TargetMode="External"/><Relationship Id="rId293" Type="http://schemas.openxmlformats.org/officeDocument/2006/relationships/hyperlink" Target="https://www.facebook.com/escolaconducao.rossio/" TargetMode="External"/><Relationship Id="rId307" Type="http://schemas.openxmlformats.org/officeDocument/2006/relationships/hyperlink" Target="https://www.instagram.com/e.c.conduirfrb/" TargetMode="External"/><Relationship Id="rId328" Type="http://schemas.openxmlformats.org/officeDocument/2006/relationships/hyperlink" Target="https://m.facebook.com/EscolaCernachedoBonjardim/" TargetMode="External"/><Relationship Id="rId349" Type="http://schemas.openxmlformats.org/officeDocument/2006/relationships/hyperlink" Target="https://www.facebook.com/escoladeconducaosernancelhe" TargetMode="External"/><Relationship Id="rId88" Type="http://schemas.openxmlformats.org/officeDocument/2006/relationships/hyperlink" Target="https://www.ec-emigrante.com/" TargetMode="External"/><Relationship Id="rId111" Type="http://schemas.openxmlformats.org/officeDocument/2006/relationships/hyperlink" Target="https://www.facebook.com/EscolaSantaMariadeObidos/" TargetMode="External"/><Relationship Id="rId132" Type="http://schemas.openxmlformats.org/officeDocument/2006/relationships/hyperlink" Target="https://www.facebook.com/ECNOVAAGUEDA/" TargetMode="External"/><Relationship Id="rId153" Type="http://schemas.openxmlformats.org/officeDocument/2006/relationships/hyperlink" Target="https://www.facebook.com/filipercarlos14/" TargetMode="External"/><Relationship Id="rId174" Type="http://schemas.openxmlformats.org/officeDocument/2006/relationships/hyperlink" Target="http://eccarreira.home.sapo.pt/" TargetMode="External"/><Relationship Id="rId195" Type="http://schemas.openxmlformats.org/officeDocument/2006/relationships/hyperlink" Target="https://www.facebook.com/rainhadeaveiro" TargetMode="External"/><Relationship Id="rId209" Type="http://schemas.openxmlformats.org/officeDocument/2006/relationships/hyperlink" Target="https://www.instagram.com/e.c.nelasfrb/" TargetMode="External"/><Relationship Id="rId220" Type="http://schemas.openxmlformats.org/officeDocument/2006/relationships/hyperlink" Target="https://www.instagram.com/ecpombal/" TargetMode="External"/><Relationship Id="rId241" Type="http://schemas.openxmlformats.org/officeDocument/2006/relationships/hyperlink" Target="https://www.instagram.com/a_nova_de_estarreja_/" TargetMode="External"/><Relationship Id="rId15" Type="http://schemas.openxmlformats.org/officeDocument/2006/relationships/hyperlink" Target="https://batalhense.com/escolas/escola-de-conducao-batalhense-batalha/" TargetMode="External"/><Relationship Id="rId36" Type="http://schemas.openxmlformats.org/officeDocument/2006/relationships/hyperlink" Target="https://www.facebook.com/beneditense" TargetMode="External"/><Relationship Id="rId57" Type="http://schemas.openxmlformats.org/officeDocument/2006/relationships/hyperlink" Target="https://www.espadaeoliveira.pt/fatimense.php" TargetMode="External"/><Relationship Id="rId262" Type="http://schemas.openxmlformats.org/officeDocument/2006/relationships/hyperlink" Target="https://www.facebook.com/saliscruz/" TargetMode="External"/><Relationship Id="rId283" Type="http://schemas.openxmlformats.org/officeDocument/2006/relationships/hyperlink" Target="https://www.facebook.com/escoladeconducao.alcanena" TargetMode="External"/><Relationship Id="rId318" Type="http://schemas.openxmlformats.org/officeDocument/2006/relationships/hyperlink" Target="http://www.ecsm.pt/" TargetMode="External"/><Relationship Id="rId339" Type="http://schemas.openxmlformats.org/officeDocument/2006/relationships/hyperlink" Target="https://www.facebook.com/EscolaDeConducaoRealidade/" TargetMode="External"/><Relationship Id="rId78" Type="http://schemas.openxmlformats.org/officeDocument/2006/relationships/hyperlink" Target="https://www.megadriving.com.pt/ec_a_figueiredo.php" TargetMode="External"/><Relationship Id="rId99" Type="http://schemas.openxmlformats.org/officeDocument/2006/relationships/hyperlink" Target="https://www.escoladeconducaodavila.com/" TargetMode="External"/><Relationship Id="rId101" Type="http://schemas.openxmlformats.org/officeDocument/2006/relationships/hyperlink" Target="https://www.facebook.com/escolas.miguel.silva/" TargetMode="External"/><Relationship Id="rId122" Type="http://schemas.openxmlformats.org/officeDocument/2006/relationships/hyperlink" Target="https://escolasmiguelsilva.pt/contact-oliveira/" TargetMode="External"/><Relationship Id="rId143" Type="http://schemas.openxmlformats.org/officeDocument/2006/relationships/hyperlink" Target="https://www.facebook.com/pages/Escola-de-Condu%C3%A7%C3%A3o-Briosa/184330364926545" TargetMode="External"/><Relationship Id="rId164" Type="http://schemas.openxmlformats.org/officeDocument/2006/relationships/hyperlink" Target="https://www.facebook.com/ecconvida/" TargetMode="External"/><Relationship Id="rId185" Type="http://schemas.openxmlformats.org/officeDocument/2006/relationships/hyperlink" Target="https://www.instagram.com/escolas.miguel.silva/" TargetMode="External"/><Relationship Id="rId350" Type="http://schemas.openxmlformats.org/officeDocument/2006/relationships/hyperlink" Target="https://www.facebook.com/ecautocaldense" TargetMode="External"/><Relationship Id="rId9" Type="http://schemas.openxmlformats.org/officeDocument/2006/relationships/hyperlink" Target="https://www.instagram.com/seguranca.maxima/" TargetMode="External"/><Relationship Id="rId210" Type="http://schemas.openxmlformats.org/officeDocument/2006/relationships/hyperlink" Target="http://www.facebook.com/escolaconducao.depenamacor" TargetMode="External"/><Relationship Id="rId26" Type="http://schemas.openxmlformats.org/officeDocument/2006/relationships/hyperlink" Target="https://www.instagram.com/batalhensegrupo/" TargetMode="External"/><Relationship Id="rId231" Type="http://schemas.openxmlformats.org/officeDocument/2006/relationships/hyperlink" Target="https://www.facebook.com/Escola-de-Condu%C3%A7%C3%A3o-Praia-da-Claridade-168940056534288/" TargetMode="External"/><Relationship Id="rId252" Type="http://schemas.openxmlformats.org/officeDocument/2006/relationships/hyperlink" Target="https://www.facebook.com/p/Escola-de-Condu%C3%A7%C3%A3o-AC-Armando-Cruz-100063803612927/" TargetMode="External"/><Relationship Id="rId273" Type="http://schemas.openxmlformats.org/officeDocument/2006/relationships/hyperlink" Target="https://www.facebook.com/pages/Escola-de-Condu&#231;&#227;o-Oeste/510906198925845" TargetMode="External"/><Relationship Id="rId294" Type="http://schemas.openxmlformats.org/officeDocument/2006/relationships/hyperlink" Target="https://www.facebook.com/conducaojuliodinis/" TargetMode="External"/><Relationship Id="rId308" Type="http://schemas.openxmlformats.org/officeDocument/2006/relationships/hyperlink" Target="http://www.ec-estradasegura.pt/" TargetMode="External"/><Relationship Id="rId329" Type="http://schemas.openxmlformats.org/officeDocument/2006/relationships/hyperlink" Target="https://www.facebook.com/MRAscensao" TargetMode="External"/><Relationship Id="rId47" Type="http://schemas.openxmlformats.org/officeDocument/2006/relationships/hyperlink" Target="https://www.facebook.com/pages/ESCOLA-DE-CONDU%C3%87%C3%83O-OURIENSE/117550408321810" TargetMode="External"/><Relationship Id="rId68" Type="http://schemas.openxmlformats.org/officeDocument/2006/relationships/hyperlink" Target="https://www.facebook.com/grupobatalhense" TargetMode="External"/><Relationship Id="rId89" Type="http://schemas.openxmlformats.org/officeDocument/2006/relationships/hyperlink" Target="https://www.facebook.com/ecemigrante/" TargetMode="External"/><Relationship Id="rId112" Type="http://schemas.openxmlformats.org/officeDocument/2006/relationships/hyperlink" Target="https://www.instagram.com/escola_santa_maria_obidos/" TargetMode="External"/><Relationship Id="rId133" Type="http://schemas.openxmlformats.org/officeDocument/2006/relationships/hyperlink" Target="https://www.facebook.com/escoladeconducao.carmona" TargetMode="External"/><Relationship Id="rId154" Type="http://schemas.openxmlformats.org/officeDocument/2006/relationships/hyperlink" Target="http://www.grupomao.com/" TargetMode="External"/><Relationship Id="rId175" Type="http://schemas.openxmlformats.org/officeDocument/2006/relationships/hyperlink" Target="https://www.facebook.com/escola.de.conducao.carreira/" TargetMode="External"/><Relationship Id="rId340" Type="http://schemas.openxmlformats.org/officeDocument/2006/relationships/hyperlink" Target="https://www.facebook.com/ecsmartroad" TargetMode="External"/><Relationship Id="rId196" Type="http://schemas.openxmlformats.org/officeDocument/2006/relationships/hyperlink" Target="https://www.facebook.com/RedLineMalaposta/" TargetMode="External"/><Relationship Id="rId200" Type="http://schemas.openxmlformats.org/officeDocument/2006/relationships/hyperlink" Target="http://www.educacao-rodoviaria.pt/ec-sraremedios/" TargetMode="External"/><Relationship Id="rId16" Type="http://schemas.openxmlformats.org/officeDocument/2006/relationships/hyperlink" Target="https://www.facebook.com/grupobatalhense" TargetMode="External"/><Relationship Id="rId221" Type="http://schemas.openxmlformats.org/officeDocument/2006/relationships/hyperlink" Target="http://www.novatorres.pt/" TargetMode="External"/><Relationship Id="rId242" Type="http://schemas.openxmlformats.org/officeDocument/2006/relationships/hyperlink" Target="https://www.facebook.com/ecperocovilha/" TargetMode="External"/><Relationship Id="rId263" Type="http://schemas.openxmlformats.org/officeDocument/2006/relationships/hyperlink" Target="https://www.instagram.com/saliscruz/" TargetMode="External"/><Relationship Id="rId284" Type="http://schemas.openxmlformats.org/officeDocument/2006/relationships/hyperlink" Target="https://www.facebook.com/oceanicaec" TargetMode="External"/><Relationship Id="rId319" Type="http://schemas.openxmlformats.org/officeDocument/2006/relationships/hyperlink" Target="https://www.facebook.com/wwwmariagraca/" TargetMode="External"/><Relationship Id="rId37" Type="http://schemas.openxmlformats.org/officeDocument/2006/relationships/hyperlink" Target="https://www.facebook.com/Escola.Sobralense" TargetMode="External"/><Relationship Id="rId58" Type="http://schemas.openxmlformats.org/officeDocument/2006/relationships/hyperlink" Target="https://www.facebook.com/pages/ESCOLA-DE-CONDU%C3%87%C3%83O-OURIENSE/117550408321810" TargetMode="External"/><Relationship Id="rId79" Type="http://schemas.openxmlformats.org/officeDocument/2006/relationships/hyperlink" Target="https://www.facebook.com/MegaDrivingEC/" TargetMode="External"/><Relationship Id="rId102" Type="http://schemas.openxmlformats.org/officeDocument/2006/relationships/hyperlink" Target="https://www.instagram.com/escolas.miguel.silva/" TargetMode="External"/><Relationship Id="rId123" Type="http://schemas.openxmlformats.org/officeDocument/2006/relationships/hyperlink" Target="https://www.facebook.com/escolas.miguel.silva/" TargetMode="External"/><Relationship Id="rId144" Type="http://schemas.openxmlformats.org/officeDocument/2006/relationships/hyperlink" Target="https://www.facebook.com/pages/Escola-de-Condu%C3%A7%C3%A3o-Dom-Pedro/110523245717372" TargetMode="External"/><Relationship Id="rId330" Type="http://schemas.openxmlformats.org/officeDocument/2006/relationships/hyperlink" Target="https://www.facebook.com/ecpenalvense" TargetMode="External"/><Relationship Id="rId90" Type="http://schemas.openxmlformats.org/officeDocument/2006/relationships/hyperlink" Target="https://www.instagram.com/ecemigrante/" TargetMode="External"/><Relationship Id="rId165" Type="http://schemas.openxmlformats.org/officeDocument/2006/relationships/hyperlink" Target="https://www.facebook.com/isabelaredeec/" TargetMode="External"/><Relationship Id="rId186" Type="http://schemas.openxmlformats.org/officeDocument/2006/relationships/hyperlink" Target="https://www.facebook.com/armamar.ec/" TargetMode="External"/><Relationship Id="rId351" Type="http://schemas.openxmlformats.org/officeDocument/2006/relationships/hyperlink" Target="https://www.facebook.com/malhoa.escoladeconducao" TargetMode="External"/><Relationship Id="rId211" Type="http://schemas.openxmlformats.org/officeDocument/2006/relationships/hyperlink" Target="http://www.escolasreis.pt/" TargetMode="External"/><Relationship Id="rId232" Type="http://schemas.openxmlformats.org/officeDocument/2006/relationships/hyperlink" Target="https://www.facebook.com/AJARescoladeconducao/" TargetMode="External"/><Relationship Id="rId253" Type="http://schemas.openxmlformats.org/officeDocument/2006/relationships/hyperlink" Target="https://www.facebook.com/Escoladeconducaobaptista/" TargetMode="External"/><Relationship Id="rId274" Type="http://schemas.openxmlformats.org/officeDocument/2006/relationships/hyperlink" Target="https://www.facebook.com/pages/Escola-de-Condu&#231;&#227;o-A-Gruta/529385423754966" TargetMode="External"/><Relationship Id="rId295" Type="http://schemas.openxmlformats.org/officeDocument/2006/relationships/hyperlink" Target="https://www.facebook.com/ecia.idealalcanedense" TargetMode="External"/><Relationship Id="rId309" Type="http://schemas.openxmlformats.org/officeDocument/2006/relationships/hyperlink" Target="https://www.facebook.com/p/Escola-Condu%C3%A7%C3%A3o-Estrada-Segura-100054449500995/" TargetMode="External"/><Relationship Id="rId27" Type="http://schemas.openxmlformats.org/officeDocument/2006/relationships/hyperlink" Target="https://www.facebook.com/pages/Escola-de-condu%C3%A7%C3%A3o-Bordalo-Pinheiro/127727473957013" TargetMode="External"/><Relationship Id="rId48" Type="http://schemas.openxmlformats.org/officeDocument/2006/relationships/hyperlink" Target="https://ec-esteves.pt/" TargetMode="External"/><Relationship Id="rId69" Type="http://schemas.openxmlformats.org/officeDocument/2006/relationships/hyperlink" Target="https://www.instagram.com/batalhensegrupo/" TargetMode="External"/><Relationship Id="rId113" Type="http://schemas.openxmlformats.org/officeDocument/2006/relationships/hyperlink" Target="https://www.espadaeoliveira.pt/caxariense.php" TargetMode="External"/><Relationship Id="rId134" Type="http://schemas.openxmlformats.org/officeDocument/2006/relationships/hyperlink" Target="https://www.facebook.com/pages/Escolas-Condu%C3%A7%C3%A3o-Traquina-e-Sardoalense/114156232091227" TargetMode="External"/><Relationship Id="rId320" Type="http://schemas.openxmlformats.org/officeDocument/2006/relationships/hyperlink" Target="https://www.facebook.com/Escola-de-Condu%C3%A7%C3%A3o-Sinal-Vertical-1079149928780461" TargetMode="External"/><Relationship Id="rId80" Type="http://schemas.openxmlformats.org/officeDocument/2006/relationships/hyperlink" Target="https://www.megadriving.com.pt/ec_campelos.php" TargetMode="External"/><Relationship Id="rId155" Type="http://schemas.openxmlformats.org/officeDocument/2006/relationships/hyperlink" Target="https://www.facebook.com/pages/Grupo-Mao-Escola-de-Condu%C3%A7%C3%A3o-Febres-e-Marialvas/184117264952338" TargetMode="External"/><Relationship Id="rId176" Type="http://schemas.openxmlformats.org/officeDocument/2006/relationships/hyperlink" Target="http://www.facebook.com/EscolaDeConducaoFatima" TargetMode="External"/><Relationship Id="rId197" Type="http://schemas.openxmlformats.org/officeDocument/2006/relationships/hyperlink" Target="https://escolasmiguelsilva.pt/contact-palhaca/" TargetMode="External"/><Relationship Id="rId341" Type="http://schemas.openxmlformats.org/officeDocument/2006/relationships/hyperlink" Target="https://www.instagram.com/ecsmartroad/" TargetMode="External"/><Relationship Id="rId201" Type="http://schemas.openxmlformats.org/officeDocument/2006/relationships/hyperlink" Target="https://www.facebook.com/p/Escola-de-Condu%C3%A7%C3%A3o-Senhora-dos-Rem%C3%A9dios-100057926107810/" TargetMode="External"/><Relationship Id="rId222" Type="http://schemas.openxmlformats.org/officeDocument/2006/relationships/hyperlink" Target="https://www.instagram.com/novatorres22/" TargetMode="External"/><Relationship Id="rId243" Type="http://schemas.openxmlformats.org/officeDocument/2006/relationships/hyperlink" Target="https://www.instagram.com/perodacovilha/" TargetMode="External"/><Relationship Id="rId264" Type="http://schemas.openxmlformats.org/officeDocument/2006/relationships/hyperlink" Target="https://escoladeconducao5sentidos921760981.wordpress.com/" TargetMode="External"/><Relationship Id="rId285" Type="http://schemas.openxmlformats.org/officeDocument/2006/relationships/hyperlink" Target="http://www.esco2000.com/" TargetMode="External"/><Relationship Id="rId17" Type="http://schemas.openxmlformats.org/officeDocument/2006/relationships/hyperlink" Target="https://www.instagram.com/batalhensegrupo/" TargetMode="External"/><Relationship Id="rId38" Type="http://schemas.openxmlformats.org/officeDocument/2006/relationships/hyperlink" Target="https://escolasmga.pt/escolas-de-conducao/oliveira-do-hospital-oliveirense/" TargetMode="External"/><Relationship Id="rId59" Type="http://schemas.openxmlformats.org/officeDocument/2006/relationships/hyperlink" Target="https://ecsantarem.com/" TargetMode="External"/><Relationship Id="rId103" Type="http://schemas.openxmlformats.org/officeDocument/2006/relationships/hyperlink" Target="https://www.facebook.com/isabelaredeec/" TargetMode="External"/><Relationship Id="rId124" Type="http://schemas.openxmlformats.org/officeDocument/2006/relationships/hyperlink" Target="https://www.instagram.com/escolas.miguel.silva/" TargetMode="External"/><Relationship Id="rId310" Type="http://schemas.openxmlformats.org/officeDocument/2006/relationships/hyperlink" Target="https://www.facebook.com/escoladeconducao.granjaparque/" TargetMode="External"/><Relationship Id="rId70" Type="http://schemas.openxmlformats.org/officeDocument/2006/relationships/hyperlink" Target="https://www.facebook.com/Ensino-em-Movimento-Esc-Condu&#231;&#227;o-Avenida-255848417912117" TargetMode="External"/><Relationship Id="rId91" Type="http://schemas.openxmlformats.org/officeDocument/2006/relationships/hyperlink" Target="https://www.megadriving.com.pt/ec_duarte.php" TargetMode="External"/><Relationship Id="rId145" Type="http://schemas.openxmlformats.org/officeDocument/2006/relationships/hyperlink" Target="https://altacilindrada.pt/escola-de-conducao-bustos-2/" TargetMode="External"/><Relationship Id="rId166" Type="http://schemas.openxmlformats.org/officeDocument/2006/relationships/hyperlink" Target="https://www.instagram.com/escoladeconducaoarede/" TargetMode="External"/><Relationship Id="rId187" Type="http://schemas.openxmlformats.org/officeDocument/2006/relationships/hyperlink" Target="https://www.facebook.com/escolabagagem" TargetMode="External"/><Relationship Id="rId331" Type="http://schemas.openxmlformats.org/officeDocument/2006/relationships/hyperlink" Target="http://facebook.com/econducaoalcains" TargetMode="External"/><Relationship Id="rId352" Type="http://schemas.openxmlformats.org/officeDocument/2006/relationships/hyperlink" Target="https://www.facebook.com/pages/Escola-de-Condu&#231;&#227;o-Manuel-Leal-Lda/211877005522624" TargetMode="External"/><Relationship Id="rId1" Type="http://schemas.openxmlformats.org/officeDocument/2006/relationships/hyperlink" Target="https://www.facebook.com/pages/Escola-de-condu&#231;&#227;o-Bordalo-Pinheiro/127727473957013" TargetMode="External"/><Relationship Id="rId212" Type="http://schemas.openxmlformats.org/officeDocument/2006/relationships/hyperlink" Target="http://www.facebook.com/escolareis.ecreis" TargetMode="External"/><Relationship Id="rId233" Type="http://schemas.openxmlformats.org/officeDocument/2006/relationships/hyperlink" Target="https://www.facebook.com/aguiadeaveiro/" TargetMode="External"/><Relationship Id="rId254" Type="http://schemas.openxmlformats.org/officeDocument/2006/relationships/hyperlink" Target="https://www.facebook.com/escoladeconducao.rodovia" TargetMode="External"/><Relationship Id="rId28" Type="http://schemas.openxmlformats.org/officeDocument/2006/relationships/hyperlink" Target="https://www.escolaconducao.pt/" TargetMode="External"/><Relationship Id="rId49" Type="http://schemas.openxmlformats.org/officeDocument/2006/relationships/hyperlink" Target="https://www.facebook.com/escolaesteves" TargetMode="External"/><Relationship Id="rId114" Type="http://schemas.openxmlformats.org/officeDocument/2006/relationships/hyperlink" Target="https://www.facebook.com/pages/ESCOLA-DE-CONDU%C3%87%C3%83O-OURIENSE/117550408321810" TargetMode="External"/><Relationship Id="rId275" Type="http://schemas.openxmlformats.org/officeDocument/2006/relationships/hyperlink" Target="https://www.facebook.com/EscolaDeConducaoBaleia" TargetMode="External"/><Relationship Id="rId296" Type="http://schemas.openxmlformats.org/officeDocument/2006/relationships/hyperlink" Target="http://escolaportoalto.com/" TargetMode="External"/><Relationship Id="rId300" Type="http://schemas.openxmlformats.org/officeDocument/2006/relationships/hyperlink" Target="https://www.facebook.com/idealdeovar/" TargetMode="External"/><Relationship Id="rId60" Type="http://schemas.openxmlformats.org/officeDocument/2006/relationships/hyperlink" Target="https://www.facebook.com/escoladeconducao.santarem/" TargetMode="External"/><Relationship Id="rId81" Type="http://schemas.openxmlformats.org/officeDocument/2006/relationships/hyperlink" Target="https://www.facebook.com/MegaDrivingEC/" TargetMode="External"/><Relationship Id="rId135" Type="http://schemas.openxmlformats.org/officeDocument/2006/relationships/hyperlink" Target="https://www.facebook.com/people/Escola-de-Condu%C3%A7%C3%A3o-Castrense/100053483172924/" TargetMode="External"/><Relationship Id="rId156" Type="http://schemas.openxmlformats.org/officeDocument/2006/relationships/hyperlink" Target="https://www.facebook.com/pg/Escola-de-Condu%C3%A7%C3%A3o-In%C3%AAs-de-Castro-170762542971106" TargetMode="External"/><Relationship Id="rId177" Type="http://schemas.openxmlformats.org/officeDocument/2006/relationships/hyperlink" Target="https://www.facebook.com/altaroda.escoladeconducao" TargetMode="External"/><Relationship Id="rId198" Type="http://schemas.openxmlformats.org/officeDocument/2006/relationships/hyperlink" Target="https://www.facebook.com/escolas.miguel.silva/" TargetMode="External"/><Relationship Id="rId321" Type="http://schemas.openxmlformats.org/officeDocument/2006/relationships/hyperlink" Target="http://www.ecnovorumo.pt/" TargetMode="External"/><Relationship Id="rId342" Type="http://schemas.openxmlformats.org/officeDocument/2006/relationships/hyperlink" Target="http://www.ecalternativa.no.sapo.pt/" TargetMode="External"/><Relationship Id="rId202" Type="http://schemas.openxmlformats.org/officeDocument/2006/relationships/hyperlink" Target="https://www.facebook.com/escconducao.monteredondo" TargetMode="External"/><Relationship Id="rId223" Type="http://schemas.openxmlformats.org/officeDocument/2006/relationships/hyperlink" Target="https://www.facebook.com/escolaconducaosamorense/" TargetMode="External"/><Relationship Id="rId244" Type="http://schemas.openxmlformats.org/officeDocument/2006/relationships/hyperlink" Target="https://sites.google.com/view/novatecnica/inicio" TargetMode="External"/><Relationship Id="rId18" Type="http://schemas.openxmlformats.org/officeDocument/2006/relationships/hyperlink" Target="https://ec-esteves.pt/" TargetMode="External"/><Relationship Id="rId39" Type="http://schemas.openxmlformats.org/officeDocument/2006/relationships/hyperlink" Target="https://www.facebook.com/escolasgrupomga" TargetMode="External"/><Relationship Id="rId265" Type="http://schemas.openxmlformats.org/officeDocument/2006/relationships/hyperlink" Target="https://www.facebook.com/escola5sentidos/" TargetMode="External"/><Relationship Id="rId286" Type="http://schemas.openxmlformats.org/officeDocument/2006/relationships/hyperlink" Target="http://www.facebook.com/pages/Escola-de-Condu&#231;&#227;o-Ideal-Cartaxense/238995212798468" TargetMode="External"/><Relationship Id="rId50" Type="http://schemas.openxmlformats.org/officeDocument/2006/relationships/hyperlink" Target="https://www.megadriving.com.pt/ec_cadaval.php" TargetMode="External"/><Relationship Id="rId104" Type="http://schemas.openxmlformats.org/officeDocument/2006/relationships/hyperlink" Target="https://www.instagram.com/escoladeconducaoarede/" TargetMode="External"/><Relationship Id="rId125" Type="http://schemas.openxmlformats.org/officeDocument/2006/relationships/hyperlink" Target="https://www.facebook.com/pages/Escola-de-Condu%C3%A7%C3%A3o-FICA/324266437679152" TargetMode="External"/><Relationship Id="rId146" Type="http://schemas.openxmlformats.org/officeDocument/2006/relationships/hyperlink" Target="https://www.facebook.com/AltaCilindradaECBustos/" TargetMode="External"/><Relationship Id="rId167" Type="http://schemas.openxmlformats.org/officeDocument/2006/relationships/hyperlink" Target="http://www.escolaconducaomoderna.pt/" TargetMode="External"/><Relationship Id="rId188" Type="http://schemas.openxmlformats.org/officeDocument/2006/relationships/hyperlink" Target="https://www.facebook.com/pages/Escola-de-Condu%C3%A7%C3%A3o-Andrade/252557324882062" TargetMode="External"/><Relationship Id="rId311" Type="http://schemas.openxmlformats.org/officeDocument/2006/relationships/hyperlink" Target="https://www.facebook.com/EscolaDeConducaoPNova" TargetMode="External"/><Relationship Id="rId332" Type="http://schemas.openxmlformats.org/officeDocument/2006/relationships/hyperlink" Target="https://www.facebook.com/escolaconducaoserrana/" TargetMode="External"/><Relationship Id="rId353" Type="http://schemas.openxmlformats.org/officeDocument/2006/relationships/hyperlink" Target="http://estrelanabao.blogspot.com/" TargetMode="External"/><Relationship Id="rId71" Type="http://schemas.openxmlformats.org/officeDocument/2006/relationships/hyperlink" Target="http://www.rotadosol.pt/" TargetMode="External"/><Relationship Id="rId92" Type="http://schemas.openxmlformats.org/officeDocument/2006/relationships/hyperlink" Target="https://www.facebook.com/MegaDrivingEC/" TargetMode="External"/><Relationship Id="rId213" Type="http://schemas.openxmlformats.org/officeDocument/2006/relationships/hyperlink" Target="https://www.facebook.com/abrantina.escolaconducao/" TargetMode="External"/><Relationship Id="rId234" Type="http://schemas.openxmlformats.org/officeDocument/2006/relationships/hyperlink" Target="https://www.facebook.com/pages/Escola-de-Condu&#231;&#227;o-Albicastrense/193776200678544" TargetMode="External"/><Relationship Id="rId2" Type="http://schemas.openxmlformats.org/officeDocument/2006/relationships/hyperlink" Target="http://www.eccaldas.pt/" TargetMode="External"/><Relationship Id="rId29" Type="http://schemas.openxmlformats.org/officeDocument/2006/relationships/hyperlink" Target="https://www.facebook.com/EscolaDeConducaoNossaSraDaPaz/" TargetMode="External"/><Relationship Id="rId255" Type="http://schemas.openxmlformats.org/officeDocument/2006/relationships/hyperlink" Target="https://www.facebook.com/AlmEscolaDeConducaoTondelense/" TargetMode="External"/><Relationship Id="rId276" Type="http://schemas.openxmlformats.org/officeDocument/2006/relationships/hyperlink" Target="https://www.facebook.com/Escola-de-Condu&#231;&#227;o-Limits-1645568475691536" TargetMode="External"/><Relationship Id="rId297" Type="http://schemas.openxmlformats.org/officeDocument/2006/relationships/hyperlink" Target="https://www.facebook.com/pages/Escola-de-Condu&#231;&#227;o-S&#227;o-Bernardo/181455851894411" TargetMode="External"/><Relationship Id="rId40" Type="http://schemas.openxmlformats.org/officeDocument/2006/relationships/hyperlink" Target="https://batalhense.com/escolas/escola-de-conducao-batalhense-marinha-grande/" TargetMode="External"/><Relationship Id="rId115" Type="http://schemas.openxmlformats.org/officeDocument/2006/relationships/hyperlink" Target="https://www.escolaconducao.pt/" TargetMode="External"/><Relationship Id="rId136" Type="http://schemas.openxmlformats.org/officeDocument/2006/relationships/hyperlink" Target="https://grupocaldas.pt/site/ecnovaviseu/" TargetMode="External"/><Relationship Id="rId157" Type="http://schemas.openxmlformats.org/officeDocument/2006/relationships/hyperlink" Target="https://www.facebook.com/rotada.estrela" TargetMode="External"/><Relationship Id="rId178" Type="http://schemas.openxmlformats.org/officeDocument/2006/relationships/hyperlink" Target="http://www.educacao-rodoviaria.pt/ec-sjoao/" TargetMode="External"/><Relationship Id="rId301" Type="http://schemas.openxmlformats.org/officeDocument/2006/relationships/hyperlink" Target="https://www.facebook.com/escola.conducao.mare/" TargetMode="External"/><Relationship Id="rId322" Type="http://schemas.openxmlformats.org/officeDocument/2006/relationships/hyperlink" Target="https://www.facebook.com/ecnovorumo" TargetMode="External"/><Relationship Id="rId343" Type="http://schemas.openxmlformats.org/officeDocument/2006/relationships/hyperlink" Target="http://www.ec-maiaeferreira.com/" TargetMode="External"/><Relationship Id="rId61" Type="http://schemas.openxmlformats.org/officeDocument/2006/relationships/hyperlink" Target="https://www.facebook.com/escola.arrudense" TargetMode="External"/><Relationship Id="rId82" Type="http://schemas.openxmlformats.org/officeDocument/2006/relationships/hyperlink" Target="https://www.megadriving.com.pt/ec_montejunto.php" TargetMode="External"/><Relationship Id="rId199" Type="http://schemas.openxmlformats.org/officeDocument/2006/relationships/hyperlink" Target="https://www.instagram.com/escolas.miguel.silva/" TargetMode="External"/><Relationship Id="rId203" Type="http://schemas.openxmlformats.org/officeDocument/2006/relationships/hyperlink" Target="https://escoladeconducaocp.pt/" TargetMode="External"/><Relationship Id="rId19" Type="http://schemas.openxmlformats.org/officeDocument/2006/relationships/hyperlink" Target="https://www.facebook.com/escolaesteves" TargetMode="External"/><Relationship Id="rId224" Type="http://schemas.openxmlformats.org/officeDocument/2006/relationships/hyperlink" Target="https://www.facebook.com/escoladeconducao.arganilense" TargetMode="External"/><Relationship Id="rId245" Type="http://schemas.openxmlformats.org/officeDocument/2006/relationships/hyperlink" Target="https://www.facebook.com/escola.novatecnica" TargetMode="External"/><Relationship Id="rId266" Type="http://schemas.openxmlformats.org/officeDocument/2006/relationships/hyperlink" Target="https://www.instagram.com/escoladeconducao5sentidos/" TargetMode="External"/><Relationship Id="rId287" Type="http://schemas.openxmlformats.org/officeDocument/2006/relationships/hyperlink" Target="https://www.facebook.com/ecorigens/" TargetMode="External"/><Relationship Id="rId30" Type="http://schemas.openxmlformats.org/officeDocument/2006/relationships/hyperlink" Target="https://www.instagram.com/escolaconducaonsrapaz/" TargetMode="External"/><Relationship Id="rId105" Type="http://schemas.openxmlformats.org/officeDocument/2006/relationships/hyperlink" Target="https://www.escolaconducaocastanheirense.pt/" TargetMode="External"/><Relationship Id="rId126" Type="http://schemas.openxmlformats.org/officeDocument/2006/relationships/hyperlink" Target="https://escolasmga.pt/escolas-de-conducao/figueira-da-foz-florbela/" TargetMode="External"/><Relationship Id="rId147" Type="http://schemas.openxmlformats.org/officeDocument/2006/relationships/hyperlink" Target="https://www.instagram.com/escola.conducao.bustos/" TargetMode="External"/><Relationship Id="rId168" Type="http://schemas.openxmlformats.org/officeDocument/2006/relationships/hyperlink" Target="https://www.facebook.com/ECMODERNA/" TargetMode="External"/><Relationship Id="rId312" Type="http://schemas.openxmlformats.org/officeDocument/2006/relationships/hyperlink" Target="https://www.facebook.com/ec4drive" TargetMode="External"/><Relationship Id="rId333" Type="http://schemas.openxmlformats.org/officeDocument/2006/relationships/hyperlink" Target="https://www.facebook.com/ecteixoso" TargetMode="External"/><Relationship Id="rId354" Type="http://schemas.openxmlformats.org/officeDocument/2006/relationships/hyperlink" Target="https://www.facebook.com/estreladonabao" TargetMode="External"/><Relationship Id="rId51" Type="http://schemas.openxmlformats.org/officeDocument/2006/relationships/hyperlink" Target="https://www.facebook.com/MegaDrivingEC/" TargetMode="External"/><Relationship Id="rId72" Type="http://schemas.openxmlformats.org/officeDocument/2006/relationships/hyperlink" Target="http://www.facebook.com/pages/Escola-de-Condu%C3%A7%C3%A3o-Rota-do-Sol/163704730348004" TargetMode="External"/><Relationship Id="rId93" Type="http://schemas.openxmlformats.org/officeDocument/2006/relationships/hyperlink" Target="https://escolasmga.pt/escolas-de-conducao/coimbra-academica/" TargetMode="External"/><Relationship Id="rId189" Type="http://schemas.openxmlformats.org/officeDocument/2006/relationships/hyperlink" Target="https://www.facebook.com/tomardrive" TargetMode="External"/><Relationship Id="rId3" Type="http://schemas.openxmlformats.org/officeDocument/2006/relationships/hyperlink" Target="https://www.facebook.com/ECCALDAS" TargetMode="External"/><Relationship Id="rId214" Type="http://schemas.openxmlformats.org/officeDocument/2006/relationships/hyperlink" Target="https://www.facebook.com/escoladeconducao.oceano/" TargetMode="External"/><Relationship Id="rId235" Type="http://schemas.openxmlformats.org/officeDocument/2006/relationships/hyperlink" Target="http://escolaconducaoautobeiracoa.com/" TargetMode="External"/><Relationship Id="rId256" Type="http://schemas.openxmlformats.org/officeDocument/2006/relationships/hyperlink" Target="https://www.facebook.com/pages/category/Driving-School/Escola-de-Condu%C3%A7%C3%A3o-Costa-de-Prata-1537665329887511/" TargetMode="External"/><Relationship Id="rId277" Type="http://schemas.openxmlformats.org/officeDocument/2006/relationships/hyperlink" Target="https://www.instagram.com/escolalimits/" TargetMode="External"/><Relationship Id="rId298" Type="http://schemas.openxmlformats.org/officeDocument/2006/relationships/hyperlink" Target="https://www.facebook.com/ecsentidounico" TargetMode="External"/><Relationship Id="rId116" Type="http://schemas.openxmlformats.org/officeDocument/2006/relationships/hyperlink" Target="https://grupocaldas.pt/site/ecviamaior/" TargetMode="External"/><Relationship Id="rId137" Type="http://schemas.openxmlformats.org/officeDocument/2006/relationships/hyperlink" Target="https://www.facebook.com/ecnovaviseu/" TargetMode="External"/><Relationship Id="rId158" Type="http://schemas.openxmlformats.org/officeDocument/2006/relationships/hyperlink" Target="https://altacilindrada.pt/escola-de-conducao-azurva-alagoas-2/" TargetMode="External"/><Relationship Id="rId302" Type="http://schemas.openxmlformats.org/officeDocument/2006/relationships/hyperlink" Target="http://www.ecgrandtour.pt/" TargetMode="External"/><Relationship Id="rId323" Type="http://schemas.openxmlformats.org/officeDocument/2006/relationships/hyperlink" Target="https://www.instagram.com/ecnovorumo/" TargetMode="External"/><Relationship Id="rId344" Type="http://schemas.openxmlformats.org/officeDocument/2006/relationships/hyperlink" Target="https://www.silvinolopes.com/" TargetMode="External"/><Relationship Id="rId20" Type="http://schemas.openxmlformats.org/officeDocument/2006/relationships/hyperlink" Target="https://batalhense.com/escolas/escola-de-conducao-batalhense-pombal-triangular/" TargetMode="External"/><Relationship Id="rId41" Type="http://schemas.openxmlformats.org/officeDocument/2006/relationships/hyperlink" Target="https://www.facebook.com/grupobatalhense" TargetMode="External"/><Relationship Id="rId62" Type="http://schemas.openxmlformats.org/officeDocument/2006/relationships/hyperlink" Target="https://www.facebook.com/ecquintadasflores/" TargetMode="External"/><Relationship Id="rId83" Type="http://schemas.openxmlformats.org/officeDocument/2006/relationships/hyperlink" Target="https://www.facebook.com/MegaDrivingEC/" TargetMode="External"/><Relationship Id="rId179" Type="http://schemas.openxmlformats.org/officeDocument/2006/relationships/hyperlink" Target="https://www.facebook.com/escola.conducao.stop/" TargetMode="External"/><Relationship Id="rId190" Type="http://schemas.openxmlformats.org/officeDocument/2006/relationships/hyperlink" Target="https://www.facebook.com/escoladeconducao.maceira" TargetMode="External"/><Relationship Id="rId204" Type="http://schemas.openxmlformats.org/officeDocument/2006/relationships/hyperlink" Target="https://www.facebook.com/Escolaconducaocentroportugal/" TargetMode="External"/><Relationship Id="rId225" Type="http://schemas.openxmlformats.org/officeDocument/2006/relationships/hyperlink" Target="http://escpenela.blogspot.pt/" TargetMode="External"/><Relationship Id="rId246" Type="http://schemas.openxmlformats.org/officeDocument/2006/relationships/hyperlink" Target="https://www.facebook.com/p/Escola-de-Condu%C3%A7%C3%A3o-Saber-Mais-100068360262573/" TargetMode="External"/><Relationship Id="rId267" Type="http://schemas.openxmlformats.org/officeDocument/2006/relationships/hyperlink" Target="https://www.facebook.com/godriving.ec/" TargetMode="External"/><Relationship Id="rId288" Type="http://schemas.openxmlformats.org/officeDocument/2006/relationships/hyperlink" Target="https://www.facebook.com/Escola-de-Condu&#231;&#227;o-Chamusca-250443278348151/" TargetMode="External"/><Relationship Id="rId106" Type="http://schemas.openxmlformats.org/officeDocument/2006/relationships/hyperlink" Target="https://www.escolaconducaocastanheirense.pt/" TargetMode="External"/><Relationship Id="rId127" Type="http://schemas.openxmlformats.org/officeDocument/2006/relationships/hyperlink" Target="https://www.facebook.com/escolasgrupomga" TargetMode="External"/><Relationship Id="rId313" Type="http://schemas.openxmlformats.org/officeDocument/2006/relationships/hyperlink" Target="https://www.irmaosgoncalves.pt/" TargetMode="External"/><Relationship Id="rId10" Type="http://schemas.openxmlformats.org/officeDocument/2006/relationships/hyperlink" Target="https://escolasmga.pt/escolas-de-conducao/coimbra-santa-clara/" TargetMode="External"/><Relationship Id="rId31" Type="http://schemas.openxmlformats.org/officeDocument/2006/relationships/hyperlink" Target="http://www.rotadosol.pt/" TargetMode="External"/><Relationship Id="rId52" Type="http://schemas.openxmlformats.org/officeDocument/2006/relationships/hyperlink" Target="https://ecviriato.pt/" TargetMode="External"/><Relationship Id="rId73" Type="http://schemas.openxmlformats.org/officeDocument/2006/relationships/hyperlink" Target="https://www.escolaconducao.pt/" TargetMode="External"/><Relationship Id="rId94" Type="http://schemas.openxmlformats.org/officeDocument/2006/relationships/hyperlink" Target="https://www.facebook.com/escolasgrupomga" TargetMode="External"/><Relationship Id="rId148" Type="http://schemas.openxmlformats.org/officeDocument/2006/relationships/hyperlink" Target="https://altacilindrada.pt/escola-de-conducao-ilhavo/" TargetMode="External"/><Relationship Id="rId169" Type="http://schemas.openxmlformats.org/officeDocument/2006/relationships/hyperlink" Target="https://www.facebook.com/pages/Escola-de-Condu%C3%A7%C3%A3o-Reis/196033300410578" TargetMode="External"/><Relationship Id="rId334" Type="http://schemas.openxmlformats.org/officeDocument/2006/relationships/hyperlink" Target="https://www.facebook.com/escolaconducao.sabugalense" TargetMode="External"/><Relationship Id="rId355" Type="http://schemas.openxmlformats.org/officeDocument/2006/relationships/hyperlink" Target="https://www.facebook.com/escoladeconducao.evoluir" TargetMode="External"/><Relationship Id="rId4" Type="http://schemas.openxmlformats.org/officeDocument/2006/relationships/hyperlink" Target="https://www.segurancamaxima.pt/escolas-de-conducao/escola-de-conducao-de-alenquer/" TargetMode="External"/><Relationship Id="rId180" Type="http://schemas.openxmlformats.org/officeDocument/2006/relationships/hyperlink" Target="https://ecdestinus.pt/" TargetMode="External"/><Relationship Id="rId215" Type="http://schemas.openxmlformats.org/officeDocument/2006/relationships/hyperlink" Target="https://pt-pt.facebook.com/Escola-de-condu%C3%A7%C3%A3o-Auto-Fama-1602182443397691/" TargetMode="External"/><Relationship Id="rId236" Type="http://schemas.openxmlformats.org/officeDocument/2006/relationships/hyperlink" Target="https://ecgraovasco.pt/" TargetMode="External"/><Relationship Id="rId257" Type="http://schemas.openxmlformats.org/officeDocument/2006/relationships/hyperlink" Target="https://escolaconducao.wixsite.com/entrelinhas" TargetMode="External"/><Relationship Id="rId278" Type="http://schemas.openxmlformats.org/officeDocument/2006/relationships/hyperlink" Target="https://viaprincipal.comunidades.net/" TargetMode="External"/><Relationship Id="rId303" Type="http://schemas.openxmlformats.org/officeDocument/2006/relationships/hyperlink" Target="https://www.facebook.com/p/ESCOLA-DE-CONDU%C3%87%C3%83O-GRAND-TOUR-100054406724561/" TargetMode="External"/><Relationship Id="rId42" Type="http://schemas.openxmlformats.org/officeDocument/2006/relationships/hyperlink" Target="https://www.instagram.com/batalhensegrupo/" TargetMode="External"/><Relationship Id="rId84" Type="http://schemas.openxmlformats.org/officeDocument/2006/relationships/hyperlink" Target="http://www.grupomao.com/" TargetMode="External"/><Relationship Id="rId138" Type="http://schemas.openxmlformats.org/officeDocument/2006/relationships/hyperlink" Target="https://www.instagram.com/ecnova_viseu/" TargetMode="External"/><Relationship Id="rId345" Type="http://schemas.openxmlformats.org/officeDocument/2006/relationships/hyperlink" Target="https://www.facebook.com/EscolaConducaoSilvinoLopes/" TargetMode="External"/><Relationship Id="rId191" Type="http://schemas.openxmlformats.org/officeDocument/2006/relationships/hyperlink" Target="https://www.facebook.com/modernatomar/" TargetMode="External"/><Relationship Id="rId205" Type="http://schemas.openxmlformats.org/officeDocument/2006/relationships/hyperlink" Target="https://www.instagram.com/escoladeconducaocentroportugal/" TargetMode="External"/><Relationship Id="rId247" Type="http://schemas.openxmlformats.org/officeDocument/2006/relationships/hyperlink" Target="http://www.escoladeconducaoirmaostavares.pt/" TargetMode="External"/><Relationship Id="rId107" Type="http://schemas.openxmlformats.org/officeDocument/2006/relationships/hyperlink" Target="https://www.escolaconducaocastanheirense.pt/" TargetMode="External"/><Relationship Id="rId289" Type="http://schemas.openxmlformats.org/officeDocument/2006/relationships/hyperlink" Target="https://www.facebook.com/escola.conducao.saodomingos/" TargetMode="External"/><Relationship Id="rId11" Type="http://schemas.openxmlformats.org/officeDocument/2006/relationships/hyperlink" Target="https://www.facebook.com/escolasgrupomga" TargetMode="External"/><Relationship Id="rId53" Type="http://schemas.openxmlformats.org/officeDocument/2006/relationships/hyperlink" Target="https://www.facebook.com/escoladeconducaoviriato" TargetMode="External"/><Relationship Id="rId149" Type="http://schemas.openxmlformats.org/officeDocument/2006/relationships/hyperlink" Target="https://www.facebook.com/AltaCilindradaECIlhavo" TargetMode="External"/><Relationship Id="rId314" Type="http://schemas.openxmlformats.org/officeDocument/2006/relationships/hyperlink" Target="https://www.facebook.com/ecirmaosgoncalves" TargetMode="External"/><Relationship Id="rId356" Type="http://schemas.openxmlformats.org/officeDocument/2006/relationships/hyperlink" Target="http://www.rotadaestrela.pt/" TargetMode="External"/><Relationship Id="rId95" Type="http://schemas.openxmlformats.org/officeDocument/2006/relationships/hyperlink" Target="https://www.facebook.com/pages/Escola-Condu&#231;&#227;o-Morais/470142536415608" TargetMode="External"/><Relationship Id="rId160" Type="http://schemas.openxmlformats.org/officeDocument/2006/relationships/hyperlink" Target="https://www.instagram.com/escola.conducao.azurva/" TargetMode="External"/><Relationship Id="rId216" Type="http://schemas.openxmlformats.org/officeDocument/2006/relationships/hyperlink" Target="https://www.facebook.com/e.c.paivensefrb" TargetMode="External"/><Relationship Id="rId258" Type="http://schemas.openxmlformats.org/officeDocument/2006/relationships/hyperlink" Target="https://www.facebook.com/ec.entrelinhas" TargetMode="External"/><Relationship Id="rId22" Type="http://schemas.openxmlformats.org/officeDocument/2006/relationships/hyperlink" Target="https://www.instagram.com/batalhensegrupo/" TargetMode="External"/><Relationship Id="rId64" Type="http://schemas.openxmlformats.org/officeDocument/2006/relationships/hyperlink" Target="https://ecabadias.pt/" TargetMode="External"/><Relationship Id="rId118" Type="http://schemas.openxmlformats.org/officeDocument/2006/relationships/hyperlink" Target="https://www.instagram.com/ecviamaior/" TargetMode="External"/><Relationship Id="rId325" Type="http://schemas.openxmlformats.org/officeDocument/2006/relationships/hyperlink" Target="https://www.facebook.com/satao.escoladeconducao" TargetMode="External"/><Relationship Id="rId171" Type="http://schemas.openxmlformats.org/officeDocument/2006/relationships/hyperlink" Target="https://www.facebook.com/escolaconducao.belmontense" TargetMode="External"/><Relationship Id="rId227" Type="http://schemas.openxmlformats.org/officeDocument/2006/relationships/hyperlink" Target="https://www.facebook.com/taroucaecmg/" TargetMode="External"/><Relationship Id="rId269" Type="http://schemas.openxmlformats.org/officeDocument/2006/relationships/hyperlink" Target="https://www.facebook.com/ECBelita" TargetMode="External"/><Relationship Id="rId33" Type="http://schemas.openxmlformats.org/officeDocument/2006/relationships/hyperlink" Target="https://www.megadriving.com.pt/ec_novaparedes.php" TargetMode="External"/><Relationship Id="rId129" Type="http://schemas.openxmlformats.org/officeDocument/2006/relationships/hyperlink" Target="https://escolasmga.pt/escolas-de-conducao/tabua-na-sra-de-fatima/" TargetMode="External"/><Relationship Id="rId280" Type="http://schemas.openxmlformats.org/officeDocument/2006/relationships/hyperlink" Target="https://www.facebook.com/grupobatalhense" TargetMode="External"/><Relationship Id="rId336" Type="http://schemas.openxmlformats.org/officeDocument/2006/relationships/hyperlink" Target="https://www.facebook.com/olidrive.agb" TargetMode="External"/><Relationship Id="rId75" Type="http://schemas.openxmlformats.org/officeDocument/2006/relationships/hyperlink" Target="https://batalhense.com/escolas/escola-de-conducao-batalhense-alcobaca/" TargetMode="External"/><Relationship Id="rId140" Type="http://schemas.openxmlformats.org/officeDocument/2006/relationships/hyperlink" Target="https://www.facebook.com/tecnicadovolante" TargetMode="External"/><Relationship Id="rId182" Type="http://schemas.openxmlformats.org/officeDocument/2006/relationships/hyperlink" Target="https://www.instagram.com/escolaconducaodestinus" TargetMode="External"/><Relationship Id="rId6" Type="http://schemas.openxmlformats.org/officeDocument/2006/relationships/hyperlink" Target="https://www.instagram.com/seguranca.maxima/" TargetMode="External"/><Relationship Id="rId238" Type="http://schemas.openxmlformats.org/officeDocument/2006/relationships/hyperlink" Target="https://www.instagram.com/ec_graovasco/" TargetMode="External"/><Relationship Id="rId291" Type="http://schemas.openxmlformats.org/officeDocument/2006/relationships/hyperlink" Target="https://www.facebook.com/escolasaturno/" TargetMode="External"/><Relationship Id="rId305" Type="http://schemas.openxmlformats.org/officeDocument/2006/relationships/hyperlink" Target="https://conduirviseu.wixsite.com/escola-de-conducao" TargetMode="External"/><Relationship Id="rId347" Type="http://schemas.openxmlformats.org/officeDocument/2006/relationships/hyperlink" Target="https://www.facebook.com/escola.semaforo/" TargetMode="External"/><Relationship Id="rId44" Type="http://schemas.openxmlformats.org/officeDocument/2006/relationships/hyperlink" Target="https://www.facebook.com/escconducaoalcobacense/" TargetMode="External"/><Relationship Id="rId86" Type="http://schemas.openxmlformats.org/officeDocument/2006/relationships/hyperlink" Target="https://www.facebook.com/lamego.ec" TargetMode="External"/><Relationship Id="rId151" Type="http://schemas.openxmlformats.org/officeDocument/2006/relationships/hyperlink" Target="https://www.facebook.com/escoladeconducao.murtosa" TargetMode="External"/><Relationship Id="rId193" Type="http://schemas.openxmlformats.org/officeDocument/2006/relationships/hyperlink" Target="https://escolaconducao-tv.com/" TargetMode="External"/><Relationship Id="rId207" Type="http://schemas.openxmlformats.org/officeDocument/2006/relationships/hyperlink" Target="https://www.facebook.com/pages/Escola-de-Condu%C3%A7%C3%A3o-Reis/196033300410578" TargetMode="External"/><Relationship Id="rId249" Type="http://schemas.openxmlformats.org/officeDocument/2006/relationships/hyperlink" Target="https://www.instagram.com/escola_irmaos_tavares/" TargetMode="External"/><Relationship Id="rId13" Type="http://schemas.openxmlformats.org/officeDocument/2006/relationships/hyperlink" Target="https://www.facebook.com/scallabis/" TargetMode="External"/><Relationship Id="rId109" Type="http://schemas.openxmlformats.org/officeDocument/2006/relationships/hyperlink" Target="https://www.facebook.com/EC.Nova.de.Esgueira/" TargetMode="External"/><Relationship Id="rId260" Type="http://schemas.openxmlformats.org/officeDocument/2006/relationships/hyperlink" Target="https://www.facebook.com/p/Escola-Condu%C3%A7%C3%A3o-Miguel-%C3%82ngelo-100057654060890/" TargetMode="External"/><Relationship Id="rId316" Type="http://schemas.openxmlformats.org/officeDocument/2006/relationships/hyperlink" Target="https://ecmoliceiro.wixsite.com/ecmoliceiro" TargetMode="External"/><Relationship Id="rId55" Type="http://schemas.openxmlformats.org/officeDocument/2006/relationships/hyperlink" Target="https://ec-esteves.pt/" TargetMode="External"/><Relationship Id="rId97" Type="http://schemas.openxmlformats.org/officeDocument/2006/relationships/hyperlink" Target="https://www.facebook.com/motooschool" TargetMode="External"/><Relationship Id="rId120" Type="http://schemas.openxmlformats.org/officeDocument/2006/relationships/hyperlink" Target="https://www.facebook.com/escolas.miguel.silva/" TargetMode="External"/><Relationship Id="rId162" Type="http://schemas.openxmlformats.org/officeDocument/2006/relationships/hyperlink" Target="http://www.facebook.com/ec.torrejana" TargetMode="External"/><Relationship Id="rId218" Type="http://schemas.openxmlformats.org/officeDocument/2006/relationships/hyperlink" Target="https://www.ecpombal.pt/site/" TargetMode="External"/><Relationship Id="rId271" Type="http://schemas.openxmlformats.org/officeDocument/2006/relationships/hyperlink" Target="https://www.facebook.com/econducao.msilva" TargetMode="External"/><Relationship Id="rId24" Type="http://schemas.openxmlformats.org/officeDocument/2006/relationships/hyperlink" Target="https://batalhense.com/escolas/escola-de-conducao-batalhense-leiria-nova-leiria/" TargetMode="External"/><Relationship Id="rId66" Type="http://schemas.openxmlformats.org/officeDocument/2006/relationships/hyperlink" Target="https://www.instagram.com/capas_negras/" TargetMode="External"/><Relationship Id="rId131" Type="http://schemas.openxmlformats.org/officeDocument/2006/relationships/hyperlink" Target="https://grupobordalo.pt/" TargetMode="External"/><Relationship Id="rId327" Type="http://schemas.openxmlformats.org/officeDocument/2006/relationships/hyperlink" Target="https://www.facebook.com/viapratica.lda/" TargetMode="External"/><Relationship Id="rId173" Type="http://schemas.openxmlformats.org/officeDocument/2006/relationships/hyperlink" Target="https://www.facebook.com/LeiriDrive/" TargetMode="External"/><Relationship Id="rId229" Type="http://schemas.openxmlformats.org/officeDocument/2006/relationships/hyperlink" Target="https://www.facebook.com/people/Escola-de-Condu%C3%A7%C3%A3o-Riomaiorense/100063557081445/" TargetMode="External"/><Relationship Id="rId240" Type="http://schemas.openxmlformats.org/officeDocument/2006/relationships/hyperlink" Target="https://www.facebook.com/profile.php?id=100063504193045" TargetMode="External"/><Relationship Id="rId35" Type="http://schemas.openxmlformats.org/officeDocument/2006/relationships/hyperlink" Target="http://www.grupoletra.pt/" TargetMode="External"/><Relationship Id="rId77" Type="http://schemas.openxmlformats.org/officeDocument/2006/relationships/hyperlink" Target="https://www.instagram.com/batalhensegrupo/" TargetMode="External"/><Relationship Id="rId100" Type="http://schemas.openxmlformats.org/officeDocument/2006/relationships/hyperlink" Target="https://escolasmiguelsilva.pt/contact-oia/" TargetMode="External"/><Relationship Id="rId282" Type="http://schemas.openxmlformats.org/officeDocument/2006/relationships/hyperlink" Target="https://www.facebook.com/escolaconducao.avelar/" TargetMode="External"/><Relationship Id="rId338" Type="http://schemas.openxmlformats.org/officeDocument/2006/relationships/hyperlink" Target="https://ecrealidade.webnode.pt/" TargetMode="External"/><Relationship Id="rId8" Type="http://schemas.openxmlformats.org/officeDocument/2006/relationships/hyperlink" Target="https://www.facebook.com/grupo.seguranca.maxima" TargetMode="External"/><Relationship Id="rId142" Type="http://schemas.openxmlformats.org/officeDocument/2006/relationships/hyperlink" Target="https://www.facebook.com/Abranjovem/" TargetMode="External"/><Relationship Id="rId184" Type="http://schemas.openxmlformats.org/officeDocument/2006/relationships/hyperlink" Target="https://pt-pt.facebook.com/ECAguada/" TargetMode="External"/><Relationship Id="rId251" Type="http://schemas.openxmlformats.org/officeDocument/2006/relationships/hyperlink" Target="https://escola-ac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10"/>
  <sheetViews>
    <sheetView tabSelected="1" workbookViewId="0">
      <pane xSplit="9" ySplit="1" topLeftCell="J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3" width="10" customWidth="1"/>
    <col min="4" max="4" width="14" customWidth="1"/>
    <col min="5" max="5" width="12" customWidth="1"/>
    <col min="6" max="6" width="10" customWidth="1"/>
    <col min="7" max="7" width="12" customWidth="1"/>
    <col min="8" max="9" width="16" customWidth="1"/>
    <col min="10" max="10" width="34" customWidth="1"/>
    <col min="11" max="12" width="18" customWidth="1"/>
    <col min="13" max="13" width="12" customWidth="1"/>
    <col min="14" max="15" width="14" customWidth="1"/>
    <col min="16" max="16" width="9" customWidth="1"/>
    <col min="17" max="17" width="30" customWidth="1"/>
    <col min="18" max="18" width="28" customWidth="1"/>
    <col min="19" max="20" width="24" customWidth="1"/>
    <col min="21" max="22" width="9" customWidth="1"/>
    <col min="23" max="23" width="14" customWidth="1"/>
    <col min="24" max="24" width="24" customWidth="1"/>
    <col min="25" max="25" width="8" customWidth="1"/>
    <col min="26" max="26" width="26" customWidth="1"/>
    <col min="27" max="27" width="10" customWidth="1"/>
    <col min="28" max="28" width="14" customWidth="1"/>
    <col min="29" max="29" width="40" customWidth="1"/>
    <col min="30" max="30" width="34" customWidth="1"/>
    <col min="31" max="31" width="26" customWidth="1"/>
    <col min="32" max="33" width="13" customWidth="1"/>
    <col min="34" max="34" width="8" customWidth="1"/>
    <col min="35" max="35" width="13" customWidth="1"/>
    <col min="36" max="36" width="20" customWidth="1"/>
    <col min="37" max="37" width="30" customWidth="1"/>
    <col min="38" max="38" width="16" customWidth="1"/>
    <col min="39" max="39" width="28" customWidth="1"/>
    <col min="40" max="40" width="30" customWidth="1"/>
    <col min="41" max="41" width="40" customWidth="1"/>
    <col min="42" max="42" width="12" customWidth="1"/>
  </cols>
  <sheetData>
    <row r="1" spans="1:4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0" x14ac:dyDescent="0.35">
      <c r="A2" s="2">
        <v>1</v>
      </c>
      <c r="B2" s="2" t="s">
        <v>42</v>
      </c>
      <c r="C2" s="2">
        <v>10.5</v>
      </c>
      <c r="D2" s="3" t="s">
        <v>43</v>
      </c>
      <c r="E2" s="3" t="s">
        <v>44</v>
      </c>
      <c r="F2" s="3" t="s">
        <v>45</v>
      </c>
      <c r="G2" s="2" t="s">
        <v>46</v>
      </c>
      <c r="H2" s="2" t="s">
        <v>47</v>
      </c>
      <c r="I2" s="2" t="s">
        <v>47</v>
      </c>
      <c r="J2" s="2" t="s">
        <v>48</v>
      </c>
      <c r="K2" s="2" t="s">
        <v>49</v>
      </c>
      <c r="L2" s="3"/>
      <c r="M2" s="3"/>
      <c r="N2" s="2" t="s">
        <v>50</v>
      </c>
      <c r="O2" s="2" t="s">
        <v>51</v>
      </c>
      <c r="P2" s="2"/>
      <c r="Q2" s="2"/>
      <c r="R2" s="2"/>
      <c r="S2" s="4" t="s">
        <v>52</v>
      </c>
      <c r="T2" s="2"/>
      <c r="U2" s="2">
        <v>2.4</v>
      </c>
      <c r="V2" s="2">
        <v>18</v>
      </c>
      <c r="W2" s="2"/>
      <c r="X2" s="5" t="s">
        <v>53</v>
      </c>
      <c r="Y2" s="2"/>
      <c r="Z2" s="5"/>
      <c r="AA2" s="2">
        <v>1132</v>
      </c>
      <c r="AB2" s="2"/>
      <c r="AC2" s="5" t="s">
        <v>54</v>
      </c>
      <c r="AD2" s="5" t="s">
        <v>55</v>
      </c>
      <c r="AE2" s="3"/>
      <c r="AF2" s="6"/>
      <c r="AG2" s="7"/>
      <c r="AH2" s="2">
        <v>0</v>
      </c>
      <c r="AI2" s="7"/>
      <c r="AJ2" s="3"/>
      <c r="AK2" s="8"/>
      <c r="AL2" s="2" t="str">
        <f t="shared" ref="AL2:AL65" si="0">IF(IF(O2&lt;&gt;"",O2,IF(LEFT(TRIM(N2),1)="9",N2,""))="","",HYPERLINK("https://wa.me/351"&amp;LEFT(SUBSTITUTE(SUBSTITUTE(SUBSTITUTE(IF(O2&lt;&gt;"",O2,IF(LEFT(TRIM(N2),1)="9",N2,""))," ",""),"+351",""),"-",""),9),"Abrir WhatsApp"))</f>
        <v>Abrir WhatsApp</v>
      </c>
      <c r="AM2" s="2"/>
      <c r="AN2" s="2" t="s">
        <v>56</v>
      </c>
      <c r="AO2" s="2" t="s">
        <v>57</v>
      </c>
      <c r="AP2" s="2"/>
    </row>
    <row r="3" spans="1:42" ht="125" x14ac:dyDescent="0.35">
      <c r="A3" s="2">
        <v>2</v>
      </c>
      <c r="B3" s="2" t="s">
        <v>42</v>
      </c>
      <c r="C3" s="2">
        <v>10.4</v>
      </c>
      <c r="D3" s="3" t="s">
        <v>43</v>
      </c>
      <c r="E3" s="3" t="s">
        <v>44</v>
      </c>
      <c r="F3" s="3" t="s">
        <v>45</v>
      </c>
      <c r="G3" s="2" t="s">
        <v>46</v>
      </c>
      <c r="H3" s="2" t="s">
        <v>47</v>
      </c>
      <c r="I3" s="2" t="s">
        <v>47</v>
      </c>
      <c r="J3" s="2" t="s">
        <v>58</v>
      </c>
      <c r="K3" s="2" t="s">
        <v>59</v>
      </c>
      <c r="L3" s="3"/>
      <c r="M3" s="3"/>
      <c r="N3" s="2" t="s">
        <v>60</v>
      </c>
      <c r="O3" s="2" t="s">
        <v>61</v>
      </c>
      <c r="P3" s="2"/>
      <c r="Q3" s="2"/>
      <c r="R3" s="4" t="s">
        <v>62</v>
      </c>
      <c r="S3" s="4" t="s">
        <v>63</v>
      </c>
      <c r="T3" s="2"/>
      <c r="U3" s="2">
        <v>3</v>
      </c>
      <c r="V3" s="2">
        <v>83</v>
      </c>
      <c r="W3" s="2" t="s">
        <v>64</v>
      </c>
      <c r="X3" s="5" t="s">
        <v>65</v>
      </c>
      <c r="Y3" s="2" t="s">
        <v>66</v>
      </c>
      <c r="Z3" s="5" t="s">
        <v>67</v>
      </c>
      <c r="AA3" s="2">
        <v>729</v>
      </c>
      <c r="AB3" s="2" t="s">
        <v>68</v>
      </c>
      <c r="AC3" s="5" t="s">
        <v>69</v>
      </c>
      <c r="AD3" s="5" t="s">
        <v>70</v>
      </c>
      <c r="AE3" s="3"/>
      <c r="AF3" s="6"/>
      <c r="AG3" s="7"/>
      <c r="AH3" s="2">
        <v>0</v>
      </c>
      <c r="AI3" s="7"/>
      <c r="AJ3" s="3"/>
      <c r="AK3" s="8"/>
      <c r="AL3" s="2" t="str">
        <f t="shared" si="0"/>
        <v>Abrir WhatsApp</v>
      </c>
      <c r="AM3" s="2" t="s">
        <v>71</v>
      </c>
      <c r="AN3" s="2" t="s">
        <v>72</v>
      </c>
      <c r="AO3" s="2" t="s">
        <v>73</v>
      </c>
      <c r="AP3" s="2"/>
    </row>
    <row r="4" spans="1:42" ht="212.5" x14ac:dyDescent="0.35">
      <c r="A4" s="2">
        <v>3</v>
      </c>
      <c r="B4" s="2" t="s">
        <v>42</v>
      </c>
      <c r="C4" s="2">
        <v>10.3</v>
      </c>
      <c r="D4" s="3" t="s">
        <v>43</v>
      </c>
      <c r="E4" s="3" t="s">
        <v>44</v>
      </c>
      <c r="F4" s="3" t="s">
        <v>45</v>
      </c>
      <c r="G4" s="2" t="s">
        <v>74</v>
      </c>
      <c r="H4" s="2" t="s">
        <v>75</v>
      </c>
      <c r="I4" s="2" t="s">
        <v>75</v>
      </c>
      <c r="J4" s="2" t="s">
        <v>76</v>
      </c>
      <c r="K4" s="2" t="s">
        <v>77</v>
      </c>
      <c r="L4" s="3"/>
      <c r="M4" s="3"/>
      <c r="N4" s="2" t="s">
        <v>78</v>
      </c>
      <c r="O4" s="2" t="s">
        <v>79</v>
      </c>
      <c r="P4" s="2"/>
      <c r="Q4" s="2" t="s">
        <v>80</v>
      </c>
      <c r="R4" s="4" t="s">
        <v>81</v>
      </c>
      <c r="S4" s="4" t="s">
        <v>82</v>
      </c>
      <c r="T4" s="4" t="s">
        <v>83</v>
      </c>
      <c r="U4" s="2">
        <v>3.7</v>
      </c>
      <c r="V4" s="2">
        <v>53</v>
      </c>
      <c r="W4" s="2" t="s">
        <v>84</v>
      </c>
      <c r="X4" s="5" t="s">
        <v>85</v>
      </c>
      <c r="Y4" s="2" t="s">
        <v>66</v>
      </c>
      <c r="Z4" s="5" t="s">
        <v>86</v>
      </c>
      <c r="AA4" s="2">
        <v>691</v>
      </c>
      <c r="AB4" s="2" t="s">
        <v>87</v>
      </c>
      <c r="AC4" s="5" t="s">
        <v>88</v>
      </c>
      <c r="AD4" s="5" t="s">
        <v>89</v>
      </c>
      <c r="AE4" s="3"/>
      <c r="AF4" s="6"/>
      <c r="AG4" s="7"/>
      <c r="AH4" s="2">
        <v>0</v>
      </c>
      <c r="AI4" s="7"/>
      <c r="AJ4" s="3"/>
      <c r="AK4" s="8"/>
      <c r="AL4" s="2" t="str">
        <f t="shared" si="0"/>
        <v>Abrir WhatsApp</v>
      </c>
      <c r="AM4" s="2" t="s">
        <v>90</v>
      </c>
      <c r="AN4" s="2" t="s">
        <v>91</v>
      </c>
      <c r="AO4" s="2" t="s">
        <v>92</v>
      </c>
      <c r="AP4" s="2"/>
    </row>
    <row r="5" spans="1:42" ht="225" x14ac:dyDescent="0.35">
      <c r="A5" s="2">
        <v>4</v>
      </c>
      <c r="B5" s="2" t="s">
        <v>42</v>
      </c>
      <c r="C5" s="2">
        <v>10.1</v>
      </c>
      <c r="D5" s="3" t="s">
        <v>43</v>
      </c>
      <c r="E5" s="3" t="s">
        <v>44</v>
      </c>
      <c r="F5" s="3" t="s">
        <v>45</v>
      </c>
      <c r="G5" s="2" t="s">
        <v>74</v>
      </c>
      <c r="H5" s="2" t="s">
        <v>75</v>
      </c>
      <c r="I5" s="2" t="s">
        <v>93</v>
      </c>
      <c r="J5" s="2" t="s">
        <v>94</v>
      </c>
      <c r="K5" s="2" t="s">
        <v>95</v>
      </c>
      <c r="L5" s="3"/>
      <c r="M5" s="3"/>
      <c r="N5" s="2" t="s">
        <v>96</v>
      </c>
      <c r="O5" s="2" t="s">
        <v>97</v>
      </c>
      <c r="P5" s="2"/>
      <c r="Q5" s="2" t="s">
        <v>98</v>
      </c>
      <c r="R5" s="4" t="s">
        <v>99</v>
      </c>
      <c r="S5" s="4" t="s">
        <v>82</v>
      </c>
      <c r="T5" s="4" t="s">
        <v>83</v>
      </c>
      <c r="U5" s="2">
        <v>3.2</v>
      </c>
      <c r="V5" s="2">
        <v>33</v>
      </c>
      <c r="W5" s="2" t="s">
        <v>84</v>
      </c>
      <c r="X5" s="5" t="s">
        <v>100</v>
      </c>
      <c r="Y5" s="2" t="s">
        <v>66</v>
      </c>
      <c r="Z5" s="5" t="s">
        <v>101</v>
      </c>
      <c r="AA5" s="2">
        <v>646</v>
      </c>
      <c r="AB5" s="2" t="s">
        <v>87</v>
      </c>
      <c r="AC5" s="5" t="s">
        <v>102</v>
      </c>
      <c r="AD5" s="5" t="s">
        <v>103</v>
      </c>
      <c r="AE5" s="3"/>
      <c r="AF5" s="6"/>
      <c r="AG5" s="7"/>
      <c r="AH5" s="2">
        <v>0</v>
      </c>
      <c r="AI5" s="7"/>
      <c r="AJ5" s="3"/>
      <c r="AK5" s="8"/>
      <c r="AL5" s="2" t="str">
        <f t="shared" si="0"/>
        <v>Abrir WhatsApp</v>
      </c>
      <c r="AM5" s="2" t="s">
        <v>104</v>
      </c>
      <c r="AN5" s="2" t="s">
        <v>105</v>
      </c>
      <c r="AO5" s="2" t="s">
        <v>106</v>
      </c>
      <c r="AP5" s="2"/>
    </row>
    <row r="6" spans="1:42" ht="87.5" x14ac:dyDescent="0.35">
      <c r="A6" s="2">
        <v>5</v>
      </c>
      <c r="B6" s="2" t="s">
        <v>42</v>
      </c>
      <c r="C6" s="2">
        <v>9.5</v>
      </c>
      <c r="D6" s="3" t="s">
        <v>43</v>
      </c>
      <c r="E6" s="3" t="s">
        <v>44</v>
      </c>
      <c r="F6" s="3" t="s">
        <v>45</v>
      </c>
      <c r="G6" s="2" t="s">
        <v>107</v>
      </c>
      <c r="H6" s="2" t="s">
        <v>107</v>
      </c>
      <c r="I6" s="2" t="s">
        <v>108</v>
      </c>
      <c r="J6" s="2" t="s">
        <v>109</v>
      </c>
      <c r="K6" s="2" t="s">
        <v>110</v>
      </c>
      <c r="L6" s="3"/>
      <c r="M6" s="3"/>
      <c r="N6" s="2" t="s">
        <v>111</v>
      </c>
      <c r="O6" s="2" t="s">
        <v>112</v>
      </c>
      <c r="P6" s="2"/>
      <c r="Q6" s="2" t="s">
        <v>113</v>
      </c>
      <c r="R6" s="4" t="s">
        <v>114</v>
      </c>
      <c r="S6" s="4" t="s">
        <v>115</v>
      </c>
      <c r="T6" s="2"/>
      <c r="U6" s="2">
        <v>3.7</v>
      </c>
      <c r="V6" s="2">
        <v>27</v>
      </c>
      <c r="W6" s="2" t="s">
        <v>116</v>
      </c>
      <c r="X6" s="5" t="s">
        <v>117</v>
      </c>
      <c r="Y6" s="2" t="s">
        <v>118</v>
      </c>
      <c r="Z6" s="5" t="s">
        <v>119</v>
      </c>
      <c r="AA6" s="2">
        <v>979</v>
      </c>
      <c r="AB6" s="2" t="s">
        <v>120</v>
      </c>
      <c r="AC6" s="5" t="s">
        <v>121</v>
      </c>
      <c r="AD6" s="5" t="s">
        <v>122</v>
      </c>
      <c r="AE6" s="3"/>
      <c r="AF6" s="6"/>
      <c r="AG6" s="7"/>
      <c r="AH6" s="2">
        <v>0</v>
      </c>
      <c r="AI6" s="7"/>
      <c r="AJ6" s="3"/>
      <c r="AK6" s="8"/>
      <c r="AL6" s="2" t="str">
        <f t="shared" si="0"/>
        <v>Abrir WhatsApp</v>
      </c>
      <c r="AM6" s="2" t="s">
        <v>123</v>
      </c>
      <c r="AN6" s="2" t="s">
        <v>124</v>
      </c>
      <c r="AO6" s="2" t="s">
        <v>125</v>
      </c>
      <c r="AP6" s="2"/>
    </row>
    <row r="7" spans="1:42" ht="187.5" x14ac:dyDescent="0.35">
      <c r="A7" s="2">
        <v>6</v>
      </c>
      <c r="B7" s="2" t="s">
        <v>42</v>
      </c>
      <c r="C7" s="2">
        <v>8.8000000000000007</v>
      </c>
      <c r="D7" s="3" t="s">
        <v>43</v>
      </c>
      <c r="E7" s="3" t="s">
        <v>44</v>
      </c>
      <c r="F7" s="3" t="s">
        <v>45</v>
      </c>
      <c r="G7" s="2" t="s">
        <v>126</v>
      </c>
      <c r="H7" s="2" t="s">
        <v>126</v>
      </c>
      <c r="I7" s="2" t="s">
        <v>126</v>
      </c>
      <c r="J7" s="2" t="s">
        <v>127</v>
      </c>
      <c r="K7" s="2" t="s">
        <v>128</v>
      </c>
      <c r="L7" s="3"/>
      <c r="M7" s="3"/>
      <c r="N7" s="2"/>
      <c r="O7" s="2" t="s">
        <v>129</v>
      </c>
      <c r="P7" s="2" t="s">
        <v>130</v>
      </c>
      <c r="Q7" s="2" t="s">
        <v>131</v>
      </c>
      <c r="R7" s="4" t="s">
        <v>132</v>
      </c>
      <c r="S7" s="4" t="s">
        <v>133</v>
      </c>
      <c r="T7" s="4" t="s">
        <v>134</v>
      </c>
      <c r="U7" s="2">
        <v>2.6</v>
      </c>
      <c r="V7" s="2">
        <v>32</v>
      </c>
      <c r="W7" s="2"/>
      <c r="X7" s="5" t="s">
        <v>135</v>
      </c>
      <c r="Y7" s="2" t="s">
        <v>66</v>
      </c>
      <c r="Z7" s="5" t="s">
        <v>136</v>
      </c>
      <c r="AA7" s="2">
        <v>462</v>
      </c>
      <c r="AB7" s="2" t="s">
        <v>137</v>
      </c>
      <c r="AC7" s="5" t="s">
        <v>138</v>
      </c>
      <c r="AD7" s="5" t="s">
        <v>139</v>
      </c>
      <c r="AE7" s="3"/>
      <c r="AF7" s="6"/>
      <c r="AG7" s="7"/>
      <c r="AH7" s="2">
        <v>0</v>
      </c>
      <c r="AI7" s="7"/>
      <c r="AJ7" s="3"/>
      <c r="AK7" s="8"/>
      <c r="AL7" s="2" t="str">
        <f t="shared" si="0"/>
        <v>Abrir WhatsApp</v>
      </c>
      <c r="AM7" s="2" t="s">
        <v>140</v>
      </c>
      <c r="AN7" s="2" t="s">
        <v>141</v>
      </c>
      <c r="AO7" s="2" t="s">
        <v>142</v>
      </c>
      <c r="AP7" s="2"/>
    </row>
    <row r="8" spans="1:42" ht="62.5" x14ac:dyDescent="0.35">
      <c r="A8" s="2">
        <v>7</v>
      </c>
      <c r="B8" s="2" t="s">
        <v>42</v>
      </c>
      <c r="C8" s="2">
        <v>8.3000000000000007</v>
      </c>
      <c r="D8" s="3" t="s">
        <v>43</v>
      </c>
      <c r="E8" s="3" t="s">
        <v>44</v>
      </c>
      <c r="F8" s="3" t="s">
        <v>45</v>
      </c>
      <c r="G8" s="2" t="s">
        <v>46</v>
      </c>
      <c r="H8" s="2" t="s">
        <v>143</v>
      </c>
      <c r="I8" s="2" t="s">
        <v>144</v>
      </c>
      <c r="J8" s="2" t="s">
        <v>145</v>
      </c>
      <c r="K8" s="2" t="s">
        <v>146</v>
      </c>
      <c r="L8" s="3"/>
      <c r="M8" s="3"/>
      <c r="N8" s="2" t="s">
        <v>147</v>
      </c>
      <c r="O8" s="2" t="s">
        <v>148</v>
      </c>
      <c r="P8" s="2"/>
      <c r="Q8" s="2" t="s">
        <v>149</v>
      </c>
      <c r="R8" s="4" t="s">
        <v>150</v>
      </c>
      <c r="S8" s="4" t="s">
        <v>151</v>
      </c>
      <c r="T8" s="4" t="s">
        <v>152</v>
      </c>
      <c r="U8" s="2">
        <v>4.0999999999999996</v>
      </c>
      <c r="V8" s="2">
        <v>23</v>
      </c>
      <c r="W8" s="2"/>
      <c r="X8" s="5" t="s">
        <v>153</v>
      </c>
      <c r="Y8" s="2" t="s">
        <v>66</v>
      </c>
      <c r="Z8" s="5" t="s">
        <v>154</v>
      </c>
      <c r="AA8" s="2">
        <v>445</v>
      </c>
      <c r="AB8" s="2" t="s">
        <v>155</v>
      </c>
      <c r="AC8" s="5" t="s">
        <v>156</v>
      </c>
      <c r="AD8" s="5" t="s">
        <v>157</v>
      </c>
      <c r="AE8" s="3"/>
      <c r="AF8" s="6"/>
      <c r="AG8" s="7"/>
      <c r="AH8" s="2">
        <v>0</v>
      </c>
      <c r="AI8" s="7"/>
      <c r="AJ8" s="3"/>
      <c r="AK8" s="8"/>
      <c r="AL8" s="2" t="str">
        <f t="shared" si="0"/>
        <v>Abrir WhatsApp</v>
      </c>
      <c r="AM8" s="2" t="s">
        <v>158</v>
      </c>
      <c r="AN8" s="2" t="s">
        <v>159</v>
      </c>
      <c r="AO8" s="2" t="s">
        <v>160</v>
      </c>
      <c r="AP8" s="2"/>
    </row>
    <row r="9" spans="1:42" ht="50" x14ac:dyDescent="0.35">
      <c r="A9" s="2">
        <v>8</v>
      </c>
      <c r="B9" s="2" t="s">
        <v>42</v>
      </c>
      <c r="C9" s="2">
        <v>8</v>
      </c>
      <c r="D9" s="3" t="s">
        <v>43</v>
      </c>
      <c r="E9" s="3" t="s">
        <v>44</v>
      </c>
      <c r="F9" s="3" t="s">
        <v>45</v>
      </c>
      <c r="G9" s="2" t="s">
        <v>46</v>
      </c>
      <c r="H9" s="2" t="s">
        <v>161</v>
      </c>
      <c r="I9" s="2" t="s">
        <v>161</v>
      </c>
      <c r="J9" s="2" t="s">
        <v>162</v>
      </c>
      <c r="K9" s="2" t="s">
        <v>163</v>
      </c>
      <c r="L9" s="3"/>
      <c r="M9" s="3"/>
      <c r="N9" s="2" t="s">
        <v>164</v>
      </c>
      <c r="O9" s="2" t="s">
        <v>165</v>
      </c>
      <c r="P9" s="2"/>
      <c r="Q9" s="2" t="s">
        <v>166</v>
      </c>
      <c r="R9" s="4" t="s">
        <v>167</v>
      </c>
      <c r="S9" s="4" t="s">
        <v>168</v>
      </c>
      <c r="T9" s="2"/>
      <c r="U9" s="2">
        <v>2.5</v>
      </c>
      <c r="V9" s="2">
        <v>2</v>
      </c>
      <c r="W9" s="2"/>
      <c r="X9" s="5" t="s">
        <v>169</v>
      </c>
      <c r="Y9" s="2" t="s">
        <v>66</v>
      </c>
      <c r="Z9" s="5" t="s">
        <v>170</v>
      </c>
      <c r="AA9" s="2">
        <v>128</v>
      </c>
      <c r="AB9" s="2"/>
      <c r="AC9" s="5" t="s">
        <v>171</v>
      </c>
      <c r="AD9" s="5" t="s">
        <v>172</v>
      </c>
      <c r="AE9" s="3"/>
      <c r="AF9" s="6"/>
      <c r="AG9" s="7"/>
      <c r="AH9" s="2">
        <v>0</v>
      </c>
      <c r="AI9" s="7"/>
      <c r="AJ9" s="3"/>
      <c r="AK9" s="8"/>
      <c r="AL9" s="2" t="str">
        <f t="shared" si="0"/>
        <v>Abrir WhatsApp</v>
      </c>
      <c r="AM9" s="2"/>
      <c r="AN9" s="2" t="s">
        <v>173</v>
      </c>
      <c r="AO9" s="2" t="s">
        <v>174</v>
      </c>
      <c r="AP9" s="2"/>
    </row>
    <row r="10" spans="1:42" ht="62.5" x14ac:dyDescent="0.35">
      <c r="A10" s="2">
        <v>9</v>
      </c>
      <c r="B10" s="2" t="s">
        <v>42</v>
      </c>
      <c r="C10" s="2">
        <v>7.8</v>
      </c>
      <c r="D10" s="3" t="s">
        <v>43</v>
      </c>
      <c r="E10" s="3" t="s">
        <v>44</v>
      </c>
      <c r="F10" s="3" t="s">
        <v>45</v>
      </c>
      <c r="G10" s="2" t="s">
        <v>46</v>
      </c>
      <c r="H10" s="2" t="s">
        <v>161</v>
      </c>
      <c r="I10" s="2" t="s">
        <v>161</v>
      </c>
      <c r="J10" s="2" t="s">
        <v>175</v>
      </c>
      <c r="K10" s="2" t="s">
        <v>146</v>
      </c>
      <c r="L10" s="3"/>
      <c r="M10" s="3"/>
      <c r="N10" s="2" t="s">
        <v>176</v>
      </c>
      <c r="O10" s="2" t="s">
        <v>177</v>
      </c>
      <c r="P10" s="2"/>
      <c r="Q10" s="2" t="s">
        <v>178</v>
      </c>
      <c r="R10" s="4" t="s">
        <v>179</v>
      </c>
      <c r="S10" s="4" t="s">
        <v>151</v>
      </c>
      <c r="T10" s="4" t="s">
        <v>152</v>
      </c>
      <c r="U10" s="2">
        <v>4.2</v>
      </c>
      <c r="V10" s="2">
        <v>10</v>
      </c>
      <c r="W10" s="2"/>
      <c r="X10" s="5" t="s">
        <v>153</v>
      </c>
      <c r="Y10" s="2" t="s">
        <v>66</v>
      </c>
      <c r="Z10" s="5" t="s">
        <v>180</v>
      </c>
      <c r="AA10" s="2">
        <v>314</v>
      </c>
      <c r="AB10" s="2" t="s">
        <v>181</v>
      </c>
      <c r="AC10" s="5" t="s">
        <v>182</v>
      </c>
      <c r="AD10" s="5" t="s">
        <v>183</v>
      </c>
      <c r="AE10" s="3"/>
      <c r="AF10" s="6"/>
      <c r="AG10" s="7"/>
      <c r="AH10" s="2">
        <v>0</v>
      </c>
      <c r="AI10" s="7"/>
      <c r="AJ10" s="3"/>
      <c r="AK10" s="8"/>
      <c r="AL10" s="2" t="str">
        <f t="shared" si="0"/>
        <v>Abrir WhatsApp</v>
      </c>
      <c r="AM10" s="2" t="s">
        <v>158</v>
      </c>
      <c r="AN10" s="2" t="s">
        <v>184</v>
      </c>
      <c r="AO10" s="2" t="s">
        <v>185</v>
      </c>
      <c r="AP10" s="2"/>
    </row>
    <row r="11" spans="1:42" ht="62.5" x14ac:dyDescent="0.35">
      <c r="A11" s="2">
        <v>10</v>
      </c>
      <c r="B11" s="2" t="s">
        <v>42</v>
      </c>
      <c r="C11" s="2">
        <v>7.8</v>
      </c>
      <c r="D11" s="3" t="s">
        <v>43</v>
      </c>
      <c r="E11" s="3" t="s">
        <v>44</v>
      </c>
      <c r="F11" s="3" t="s">
        <v>45</v>
      </c>
      <c r="G11" s="2" t="s">
        <v>46</v>
      </c>
      <c r="H11" s="2" t="s">
        <v>186</v>
      </c>
      <c r="I11" s="2" t="s">
        <v>186</v>
      </c>
      <c r="J11" s="2" t="s">
        <v>187</v>
      </c>
      <c r="K11" s="2" t="s">
        <v>188</v>
      </c>
      <c r="L11" s="3"/>
      <c r="M11" s="3"/>
      <c r="N11" s="2" t="s">
        <v>189</v>
      </c>
      <c r="O11" s="2"/>
      <c r="P11" s="2"/>
      <c r="Q11" s="2"/>
      <c r="R11" s="2"/>
      <c r="S11" s="4" t="s">
        <v>190</v>
      </c>
      <c r="T11" s="2"/>
      <c r="U11" s="2">
        <v>3.3</v>
      </c>
      <c r="V11" s="2">
        <v>3</v>
      </c>
      <c r="W11" s="2"/>
      <c r="X11" s="5"/>
      <c r="Y11" s="2"/>
      <c r="Z11" s="5"/>
      <c r="AA11" s="2">
        <v>86</v>
      </c>
      <c r="AB11" s="2"/>
      <c r="AC11" s="5" t="s">
        <v>191</v>
      </c>
      <c r="AD11" s="5" t="s">
        <v>192</v>
      </c>
      <c r="AE11" s="3"/>
      <c r="AF11" s="6"/>
      <c r="AG11" s="7"/>
      <c r="AH11" s="2">
        <v>0</v>
      </c>
      <c r="AI11" s="7"/>
      <c r="AJ11" s="3"/>
      <c r="AK11" s="8"/>
      <c r="AL11" s="2" t="str">
        <f t="shared" si="0"/>
        <v/>
      </c>
      <c r="AM11" s="2"/>
      <c r="AN11" s="2" t="s">
        <v>193</v>
      </c>
      <c r="AO11" s="2" t="s">
        <v>194</v>
      </c>
      <c r="AP11" s="2"/>
    </row>
    <row r="12" spans="1:42" ht="62.5" x14ac:dyDescent="0.35">
      <c r="A12" s="2">
        <v>11</v>
      </c>
      <c r="B12" s="2" t="s">
        <v>42</v>
      </c>
      <c r="C12" s="2">
        <v>7.6</v>
      </c>
      <c r="D12" s="3" t="s">
        <v>43</v>
      </c>
      <c r="E12" s="3" t="s">
        <v>44</v>
      </c>
      <c r="F12" s="3" t="s">
        <v>45</v>
      </c>
      <c r="G12" s="2" t="s">
        <v>46</v>
      </c>
      <c r="H12" s="2" t="s">
        <v>46</v>
      </c>
      <c r="I12" s="2" t="s">
        <v>195</v>
      </c>
      <c r="J12" s="2" t="s">
        <v>196</v>
      </c>
      <c r="K12" s="2" t="s">
        <v>146</v>
      </c>
      <c r="L12" s="3"/>
      <c r="M12" s="3"/>
      <c r="N12" s="2" t="s">
        <v>197</v>
      </c>
      <c r="O12" s="2" t="s">
        <v>198</v>
      </c>
      <c r="P12" s="2"/>
      <c r="Q12" s="2" t="s">
        <v>199</v>
      </c>
      <c r="R12" s="4" t="s">
        <v>200</v>
      </c>
      <c r="S12" s="4" t="s">
        <v>151</v>
      </c>
      <c r="T12" s="4" t="s">
        <v>152</v>
      </c>
      <c r="U12" s="2">
        <v>4.4000000000000004</v>
      </c>
      <c r="V12" s="2">
        <v>19</v>
      </c>
      <c r="W12" s="2"/>
      <c r="X12" s="5" t="s">
        <v>153</v>
      </c>
      <c r="Y12" s="2" t="s">
        <v>66</v>
      </c>
      <c r="Z12" s="5" t="s">
        <v>201</v>
      </c>
      <c r="AA12" s="2">
        <v>535</v>
      </c>
      <c r="AB12" s="2" t="s">
        <v>202</v>
      </c>
      <c r="AC12" s="5" t="s">
        <v>203</v>
      </c>
      <c r="AD12" s="5" t="s">
        <v>204</v>
      </c>
      <c r="AE12" s="3"/>
      <c r="AF12" s="6"/>
      <c r="AG12" s="7"/>
      <c r="AH12" s="2">
        <v>0</v>
      </c>
      <c r="AI12" s="7"/>
      <c r="AJ12" s="3"/>
      <c r="AK12" s="8"/>
      <c r="AL12" s="2" t="str">
        <f t="shared" si="0"/>
        <v>Abrir WhatsApp</v>
      </c>
      <c r="AM12" s="2" t="s">
        <v>158</v>
      </c>
      <c r="AN12" s="2" t="s">
        <v>205</v>
      </c>
      <c r="AO12" s="2" t="s">
        <v>206</v>
      </c>
      <c r="AP12" s="2"/>
    </row>
    <row r="13" spans="1:42" ht="125" x14ac:dyDescent="0.35">
      <c r="A13" s="2">
        <v>12</v>
      </c>
      <c r="B13" s="2" t="s">
        <v>42</v>
      </c>
      <c r="C13" s="2">
        <v>7.5</v>
      </c>
      <c r="D13" s="3" t="s">
        <v>43</v>
      </c>
      <c r="E13" s="3" t="s">
        <v>44</v>
      </c>
      <c r="F13" s="3" t="s">
        <v>45</v>
      </c>
      <c r="G13" s="2" t="s">
        <v>207</v>
      </c>
      <c r="H13" s="2" t="s">
        <v>207</v>
      </c>
      <c r="I13" s="2" t="s">
        <v>208</v>
      </c>
      <c r="J13" s="2" t="s">
        <v>209</v>
      </c>
      <c r="K13" s="2" t="s">
        <v>210</v>
      </c>
      <c r="L13" s="3"/>
      <c r="M13" s="3"/>
      <c r="N13" s="2" t="s">
        <v>211</v>
      </c>
      <c r="O13" s="2"/>
      <c r="P13" s="2"/>
      <c r="Q13" s="2"/>
      <c r="R13" s="2"/>
      <c r="S13" s="4" t="s">
        <v>212</v>
      </c>
      <c r="T13" s="2"/>
      <c r="U13" s="2">
        <v>2.8</v>
      </c>
      <c r="V13" s="2">
        <v>33</v>
      </c>
      <c r="W13" s="2"/>
      <c r="X13" s="5" t="s">
        <v>213</v>
      </c>
      <c r="Y13" s="2" t="s">
        <v>66</v>
      </c>
      <c r="Z13" s="5" t="s">
        <v>214</v>
      </c>
      <c r="AA13" s="2">
        <v>378</v>
      </c>
      <c r="AB13" s="2"/>
      <c r="AC13" s="5" t="s">
        <v>215</v>
      </c>
      <c r="AD13" s="5" t="s">
        <v>216</v>
      </c>
      <c r="AE13" s="3"/>
      <c r="AF13" s="6"/>
      <c r="AG13" s="7"/>
      <c r="AH13" s="2">
        <v>0</v>
      </c>
      <c r="AI13" s="7"/>
      <c r="AJ13" s="3"/>
      <c r="AK13" s="8"/>
      <c r="AL13" s="2" t="str">
        <f t="shared" si="0"/>
        <v/>
      </c>
      <c r="AM13" s="2"/>
      <c r="AN13" s="2" t="s">
        <v>217</v>
      </c>
      <c r="AO13" s="2" t="s">
        <v>218</v>
      </c>
      <c r="AP13" s="2"/>
    </row>
    <row r="14" spans="1:42" ht="100" x14ac:dyDescent="0.35">
      <c r="A14" s="2">
        <v>13</v>
      </c>
      <c r="B14" s="2" t="s">
        <v>42</v>
      </c>
      <c r="C14" s="2">
        <v>7.4</v>
      </c>
      <c r="D14" s="3" t="s">
        <v>43</v>
      </c>
      <c r="E14" s="3" t="s">
        <v>44</v>
      </c>
      <c r="F14" s="3" t="s">
        <v>45</v>
      </c>
      <c r="G14" s="2" t="s">
        <v>126</v>
      </c>
      <c r="H14" s="2" t="s">
        <v>219</v>
      </c>
      <c r="I14" s="2" t="s">
        <v>219</v>
      </c>
      <c r="J14" s="2" t="s">
        <v>220</v>
      </c>
      <c r="K14" s="2" t="s">
        <v>221</v>
      </c>
      <c r="L14" s="3"/>
      <c r="M14" s="3"/>
      <c r="N14" s="2" t="s">
        <v>222</v>
      </c>
      <c r="O14" s="2" t="s">
        <v>223</v>
      </c>
      <c r="P14" s="2"/>
      <c r="Q14" s="2"/>
      <c r="R14" s="2"/>
      <c r="S14" s="2"/>
      <c r="T14" s="2"/>
      <c r="U14" s="2">
        <v>3.3</v>
      </c>
      <c r="V14" s="2">
        <v>6</v>
      </c>
      <c r="W14" s="2"/>
      <c r="X14" s="5" t="s">
        <v>224</v>
      </c>
      <c r="Y14" s="2" t="s">
        <v>66</v>
      </c>
      <c r="Z14" s="5" t="s">
        <v>225</v>
      </c>
      <c r="AA14" s="2">
        <v>98</v>
      </c>
      <c r="AB14" s="2" t="s">
        <v>226</v>
      </c>
      <c r="AC14" s="5" t="s">
        <v>227</v>
      </c>
      <c r="AD14" s="5" t="s">
        <v>228</v>
      </c>
      <c r="AE14" s="3"/>
      <c r="AF14" s="6"/>
      <c r="AG14" s="7"/>
      <c r="AH14" s="2">
        <v>0</v>
      </c>
      <c r="AI14" s="7"/>
      <c r="AJ14" s="3"/>
      <c r="AK14" s="8"/>
      <c r="AL14" s="2" t="str">
        <f t="shared" si="0"/>
        <v>Abrir WhatsApp</v>
      </c>
      <c r="AM14" s="2" t="s">
        <v>229</v>
      </c>
      <c r="AN14" s="2" t="s">
        <v>230</v>
      </c>
      <c r="AO14" s="2" t="s">
        <v>231</v>
      </c>
      <c r="AP14" s="2"/>
    </row>
    <row r="15" spans="1:42" ht="37.5" x14ac:dyDescent="0.35">
      <c r="A15" s="2">
        <v>14</v>
      </c>
      <c r="B15" s="2" t="s">
        <v>42</v>
      </c>
      <c r="C15" s="2">
        <v>7.2</v>
      </c>
      <c r="D15" s="3" t="s">
        <v>43</v>
      </c>
      <c r="E15" s="3" t="s">
        <v>44</v>
      </c>
      <c r="F15" s="3" t="s">
        <v>45</v>
      </c>
      <c r="G15" s="2" t="s">
        <v>126</v>
      </c>
      <c r="H15" s="2" t="s">
        <v>232</v>
      </c>
      <c r="I15" s="2" t="s">
        <v>232</v>
      </c>
      <c r="J15" s="2" t="s">
        <v>233</v>
      </c>
      <c r="K15" s="2" t="s">
        <v>234</v>
      </c>
      <c r="L15" s="3"/>
      <c r="M15" s="3"/>
      <c r="N15" s="2" t="s">
        <v>235</v>
      </c>
      <c r="O15" s="2" t="s">
        <v>236</v>
      </c>
      <c r="P15" s="2"/>
      <c r="Q15" s="2"/>
      <c r="R15" s="2"/>
      <c r="S15" s="2"/>
      <c r="T15" s="2"/>
      <c r="U15" s="2"/>
      <c r="V15" s="2"/>
      <c r="W15" s="2"/>
      <c r="X15" s="5"/>
      <c r="Y15" s="2"/>
      <c r="Z15" s="5"/>
      <c r="AA15" s="2">
        <v>672</v>
      </c>
      <c r="AB15" s="2"/>
      <c r="AC15" s="5"/>
      <c r="AD15" s="5" t="s">
        <v>237</v>
      </c>
      <c r="AE15" s="3"/>
      <c r="AF15" s="6"/>
      <c r="AG15" s="7"/>
      <c r="AH15" s="2">
        <v>0</v>
      </c>
      <c r="AI15" s="7"/>
      <c r="AJ15" s="3"/>
      <c r="AK15" s="8"/>
      <c r="AL15" s="2" t="str">
        <f t="shared" si="0"/>
        <v>Abrir WhatsApp</v>
      </c>
      <c r="AM15" s="2" t="s">
        <v>238</v>
      </c>
      <c r="AN15" s="2" t="s">
        <v>239</v>
      </c>
      <c r="AO15" s="2" t="s">
        <v>240</v>
      </c>
      <c r="AP15" s="2"/>
    </row>
    <row r="16" spans="1:42" ht="200" x14ac:dyDescent="0.35">
      <c r="A16" s="2">
        <v>15</v>
      </c>
      <c r="B16" s="2" t="s">
        <v>42</v>
      </c>
      <c r="C16" s="2">
        <v>7.1</v>
      </c>
      <c r="D16" s="3" t="s">
        <v>43</v>
      </c>
      <c r="E16" s="3" t="s">
        <v>44</v>
      </c>
      <c r="F16" s="3" t="s">
        <v>45</v>
      </c>
      <c r="G16" s="2" t="s">
        <v>126</v>
      </c>
      <c r="H16" s="2" t="s">
        <v>241</v>
      </c>
      <c r="I16" s="2" t="s">
        <v>241</v>
      </c>
      <c r="J16" s="2" t="s">
        <v>242</v>
      </c>
      <c r="K16" s="2" t="s">
        <v>243</v>
      </c>
      <c r="L16" s="3"/>
      <c r="M16" s="3"/>
      <c r="N16" s="2" t="s">
        <v>244</v>
      </c>
      <c r="O16" s="2" t="s">
        <v>245</v>
      </c>
      <c r="P16" s="2" t="s">
        <v>130</v>
      </c>
      <c r="Q16" s="2" t="s">
        <v>246</v>
      </c>
      <c r="R16" s="4" t="s">
        <v>247</v>
      </c>
      <c r="S16" s="4" t="s">
        <v>248</v>
      </c>
      <c r="T16" s="4" t="s">
        <v>249</v>
      </c>
      <c r="U16" s="2"/>
      <c r="V16" s="2"/>
      <c r="W16" s="2"/>
      <c r="X16" s="5" t="s">
        <v>250</v>
      </c>
      <c r="Y16" s="2" t="s">
        <v>66</v>
      </c>
      <c r="Z16" s="5" t="s">
        <v>251</v>
      </c>
      <c r="AA16" s="2">
        <v>524</v>
      </c>
      <c r="AB16" s="2" t="s">
        <v>252</v>
      </c>
      <c r="AC16" s="5" t="s">
        <v>253</v>
      </c>
      <c r="AD16" s="5" t="s">
        <v>254</v>
      </c>
      <c r="AE16" s="3"/>
      <c r="AF16" s="6"/>
      <c r="AG16" s="7"/>
      <c r="AH16" s="2">
        <v>0</v>
      </c>
      <c r="AI16" s="7"/>
      <c r="AJ16" s="3"/>
      <c r="AK16" s="8"/>
      <c r="AL16" s="2" t="str">
        <f t="shared" si="0"/>
        <v>Abrir WhatsApp</v>
      </c>
      <c r="AM16" s="2" t="s">
        <v>255</v>
      </c>
      <c r="AN16" s="2" t="s">
        <v>256</v>
      </c>
      <c r="AO16" s="2" t="s">
        <v>257</v>
      </c>
      <c r="AP16" s="2"/>
    </row>
    <row r="17" spans="1:42" ht="50" x14ac:dyDescent="0.35">
      <c r="A17" s="2">
        <v>16</v>
      </c>
      <c r="B17" s="2" t="s">
        <v>42</v>
      </c>
      <c r="C17" s="2">
        <v>7</v>
      </c>
      <c r="D17" s="3" t="s">
        <v>43</v>
      </c>
      <c r="E17" s="3" t="s">
        <v>44</v>
      </c>
      <c r="F17" s="3" t="s">
        <v>45</v>
      </c>
      <c r="G17" s="2" t="s">
        <v>46</v>
      </c>
      <c r="H17" s="2" t="s">
        <v>46</v>
      </c>
      <c r="I17" s="2" t="s">
        <v>258</v>
      </c>
      <c r="J17" s="2" t="s">
        <v>259</v>
      </c>
      <c r="K17" s="2" t="s">
        <v>260</v>
      </c>
      <c r="L17" s="3"/>
      <c r="M17" s="3"/>
      <c r="N17" s="2" t="s">
        <v>261</v>
      </c>
      <c r="O17" s="2"/>
      <c r="P17" s="2"/>
      <c r="Q17" s="2" t="s">
        <v>262</v>
      </c>
      <c r="R17" s="4" t="s">
        <v>263</v>
      </c>
      <c r="S17" s="4" t="s">
        <v>264</v>
      </c>
      <c r="T17" s="2"/>
      <c r="U17" s="2">
        <v>5</v>
      </c>
      <c r="V17" s="2">
        <v>240</v>
      </c>
      <c r="W17" s="2"/>
      <c r="X17" s="5" t="s">
        <v>265</v>
      </c>
      <c r="Y17" s="2" t="s">
        <v>66</v>
      </c>
      <c r="Z17" s="5" t="s">
        <v>266</v>
      </c>
      <c r="AA17" s="2">
        <v>498</v>
      </c>
      <c r="AB17" s="2"/>
      <c r="AC17" s="5"/>
      <c r="AD17" s="5" t="s">
        <v>267</v>
      </c>
      <c r="AE17" s="3"/>
      <c r="AF17" s="6"/>
      <c r="AG17" s="7"/>
      <c r="AH17" s="2">
        <v>0</v>
      </c>
      <c r="AI17" s="7"/>
      <c r="AJ17" s="3"/>
      <c r="AK17" s="8"/>
      <c r="AL17" s="2" t="str">
        <f t="shared" si="0"/>
        <v/>
      </c>
      <c r="AM17" s="2" t="s">
        <v>268</v>
      </c>
      <c r="AN17" s="2" t="s">
        <v>269</v>
      </c>
      <c r="AO17" s="2" t="s">
        <v>270</v>
      </c>
      <c r="AP17" s="2"/>
    </row>
    <row r="18" spans="1:42" ht="62.5" x14ac:dyDescent="0.35">
      <c r="A18" s="2">
        <v>17</v>
      </c>
      <c r="B18" s="2" t="s">
        <v>42</v>
      </c>
      <c r="C18" s="2">
        <v>7</v>
      </c>
      <c r="D18" s="3" t="s">
        <v>43</v>
      </c>
      <c r="E18" s="3" t="s">
        <v>44</v>
      </c>
      <c r="F18" s="3" t="s">
        <v>45</v>
      </c>
      <c r="G18" s="2" t="s">
        <v>74</v>
      </c>
      <c r="H18" s="2" t="s">
        <v>75</v>
      </c>
      <c r="I18" s="2" t="s">
        <v>75</v>
      </c>
      <c r="J18" s="2" t="s">
        <v>271</v>
      </c>
      <c r="K18" s="2" t="s">
        <v>272</v>
      </c>
      <c r="L18" s="3"/>
      <c r="M18" s="3"/>
      <c r="N18" s="2" t="s">
        <v>273</v>
      </c>
      <c r="O18" s="2" t="s">
        <v>274</v>
      </c>
      <c r="P18" s="2"/>
      <c r="Q18" s="2" t="s">
        <v>275</v>
      </c>
      <c r="R18" s="4" t="s">
        <v>276</v>
      </c>
      <c r="S18" s="4" t="s">
        <v>277</v>
      </c>
      <c r="T18" s="2"/>
      <c r="U18" s="2">
        <v>4.5</v>
      </c>
      <c r="V18" s="2">
        <v>4</v>
      </c>
      <c r="W18" s="2"/>
      <c r="X18" s="5" t="s">
        <v>278</v>
      </c>
      <c r="Y18" s="2" t="s">
        <v>66</v>
      </c>
      <c r="Z18" s="5" t="s">
        <v>279</v>
      </c>
      <c r="AA18" s="2">
        <v>495</v>
      </c>
      <c r="AB18" s="2"/>
      <c r="AC18" s="5"/>
      <c r="AD18" s="5" t="s">
        <v>280</v>
      </c>
      <c r="AE18" s="3"/>
      <c r="AF18" s="6"/>
      <c r="AG18" s="7"/>
      <c r="AH18" s="2">
        <v>0</v>
      </c>
      <c r="AI18" s="7"/>
      <c r="AJ18" s="3"/>
      <c r="AK18" s="8"/>
      <c r="AL18" s="2" t="str">
        <f t="shared" si="0"/>
        <v>Abrir WhatsApp</v>
      </c>
      <c r="AM18" s="2" t="s">
        <v>281</v>
      </c>
      <c r="AN18" s="2" t="s">
        <v>282</v>
      </c>
      <c r="AO18" s="2" t="s">
        <v>283</v>
      </c>
      <c r="AP18" s="2"/>
    </row>
    <row r="19" spans="1:42" ht="25" x14ac:dyDescent="0.35">
      <c r="A19" s="2">
        <v>18</v>
      </c>
      <c r="B19" s="2" t="s">
        <v>42</v>
      </c>
      <c r="C19" s="2">
        <v>6.9</v>
      </c>
      <c r="D19" s="3" t="s">
        <v>43</v>
      </c>
      <c r="E19" s="3" t="s">
        <v>44</v>
      </c>
      <c r="F19" s="3" t="s">
        <v>45</v>
      </c>
      <c r="G19" s="2" t="s">
        <v>46</v>
      </c>
      <c r="H19" s="2" t="s">
        <v>284</v>
      </c>
      <c r="I19" s="2" t="s">
        <v>285</v>
      </c>
      <c r="J19" s="2" t="s">
        <v>286</v>
      </c>
      <c r="K19" s="2" t="s">
        <v>287</v>
      </c>
      <c r="L19" s="3"/>
      <c r="M19" s="3"/>
      <c r="N19" s="2" t="s">
        <v>288</v>
      </c>
      <c r="O19" s="2"/>
      <c r="P19" s="2"/>
      <c r="Q19" s="2"/>
      <c r="R19" s="4" t="s">
        <v>289</v>
      </c>
      <c r="S19" s="4" t="s">
        <v>290</v>
      </c>
      <c r="T19" s="2"/>
      <c r="U19" s="2">
        <v>4.8</v>
      </c>
      <c r="V19" s="2">
        <v>9</v>
      </c>
      <c r="W19" s="2"/>
      <c r="X19" s="5"/>
      <c r="Y19" s="2"/>
      <c r="Z19" s="5"/>
      <c r="AA19" s="2">
        <v>465</v>
      </c>
      <c r="AB19" s="2"/>
      <c r="AC19" s="5"/>
      <c r="AD19" s="5" t="s">
        <v>291</v>
      </c>
      <c r="AE19" s="3"/>
      <c r="AF19" s="6"/>
      <c r="AG19" s="7"/>
      <c r="AH19" s="2">
        <v>0</v>
      </c>
      <c r="AI19" s="7"/>
      <c r="AJ19" s="3"/>
      <c r="AK19" s="8"/>
      <c r="AL19" s="2" t="str">
        <f t="shared" si="0"/>
        <v/>
      </c>
      <c r="AM19" s="2"/>
      <c r="AN19" s="2" t="s">
        <v>292</v>
      </c>
      <c r="AO19" s="2" t="s">
        <v>293</v>
      </c>
      <c r="AP19" s="2"/>
    </row>
    <row r="20" spans="1:42" ht="37.5" x14ac:dyDescent="0.35">
      <c r="A20" s="2">
        <v>19</v>
      </c>
      <c r="B20" s="2" t="s">
        <v>42</v>
      </c>
      <c r="C20" s="2">
        <v>6.9</v>
      </c>
      <c r="D20" s="3" t="s">
        <v>43</v>
      </c>
      <c r="E20" s="3" t="s">
        <v>44</v>
      </c>
      <c r="F20" s="3" t="s">
        <v>45</v>
      </c>
      <c r="G20" s="2" t="s">
        <v>74</v>
      </c>
      <c r="H20" s="2" t="s">
        <v>294</v>
      </c>
      <c r="I20" s="2" t="s">
        <v>294</v>
      </c>
      <c r="J20" s="2" t="s">
        <v>295</v>
      </c>
      <c r="K20" s="2" t="s">
        <v>296</v>
      </c>
      <c r="L20" s="3"/>
      <c r="M20" s="3"/>
      <c r="N20" s="2" t="s">
        <v>297</v>
      </c>
      <c r="O20" s="2" t="s">
        <v>298</v>
      </c>
      <c r="P20" s="2"/>
      <c r="Q20" s="2"/>
      <c r="R20" s="2"/>
      <c r="S20" s="4" t="s">
        <v>299</v>
      </c>
      <c r="T20" s="2"/>
      <c r="U20" s="2">
        <v>4.5</v>
      </c>
      <c r="V20" s="2">
        <v>19</v>
      </c>
      <c r="W20" s="2"/>
      <c r="X20" s="5" t="s">
        <v>224</v>
      </c>
      <c r="Y20" s="2" t="s">
        <v>66</v>
      </c>
      <c r="Z20" s="5" t="s">
        <v>300</v>
      </c>
      <c r="AA20" s="2">
        <v>465</v>
      </c>
      <c r="AB20" s="2"/>
      <c r="AC20" s="5"/>
      <c r="AD20" s="5" t="s">
        <v>301</v>
      </c>
      <c r="AE20" s="3"/>
      <c r="AF20" s="6"/>
      <c r="AG20" s="7"/>
      <c r="AH20" s="2">
        <v>0</v>
      </c>
      <c r="AI20" s="7"/>
      <c r="AJ20" s="3"/>
      <c r="AK20" s="8"/>
      <c r="AL20" s="2" t="str">
        <f t="shared" si="0"/>
        <v>Abrir WhatsApp</v>
      </c>
      <c r="AM20" s="2"/>
      <c r="AN20" s="2" t="s">
        <v>302</v>
      </c>
      <c r="AO20" s="2" t="s">
        <v>303</v>
      </c>
      <c r="AP20" s="2"/>
    </row>
    <row r="21" spans="1:42" ht="62.5" x14ac:dyDescent="0.35">
      <c r="A21" s="2">
        <v>20</v>
      </c>
      <c r="B21" s="2" t="s">
        <v>42</v>
      </c>
      <c r="C21" s="2">
        <v>6.9</v>
      </c>
      <c r="D21" s="3" t="s">
        <v>43</v>
      </c>
      <c r="E21" s="3" t="s">
        <v>44</v>
      </c>
      <c r="F21" s="3" t="s">
        <v>45</v>
      </c>
      <c r="G21" s="2" t="s">
        <v>107</v>
      </c>
      <c r="H21" s="2" t="s">
        <v>304</v>
      </c>
      <c r="I21" s="2" t="s">
        <v>304</v>
      </c>
      <c r="J21" s="2" t="s">
        <v>305</v>
      </c>
      <c r="K21" s="2" t="s">
        <v>110</v>
      </c>
      <c r="L21" s="3"/>
      <c r="M21" s="3"/>
      <c r="N21" s="2" t="s">
        <v>306</v>
      </c>
      <c r="O21" s="2" t="s">
        <v>307</v>
      </c>
      <c r="P21" s="2"/>
      <c r="Q21" s="2" t="s">
        <v>113</v>
      </c>
      <c r="R21" s="4" t="s">
        <v>308</v>
      </c>
      <c r="S21" s="4" t="s">
        <v>115</v>
      </c>
      <c r="T21" s="2"/>
      <c r="U21" s="2">
        <v>4.5</v>
      </c>
      <c r="V21" s="2">
        <v>46</v>
      </c>
      <c r="W21" s="2" t="s">
        <v>116</v>
      </c>
      <c r="X21" s="5" t="s">
        <v>309</v>
      </c>
      <c r="Y21" s="2" t="s">
        <v>66</v>
      </c>
      <c r="Z21" s="5" t="s">
        <v>310</v>
      </c>
      <c r="AA21" s="2">
        <v>594</v>
      </c>
      <c r="AB21" s="2" t="s">
        <v>120</v>
      </c>
      <c r="AC21" s="5" t="s">
        <v>311</v>
      </c>
      <c r="AD21" s="5" t="s">
        <v>312</v>
      </c>
      <c r="AE21" s="3"/>
      <c r="AF21" s="6"/>
      <c r="AG21" s="7"/>
      <c r="AH21" s="2">
        <v>0</v>
      </c>
      <c r="AI21" s="7"/>
      <c r="AJ21" s="3"/>
      <c r="AK21" s="8"/>
      <c r="AL21" s="2" t="str">
        <f t="shared" si="0"/>
        <v>Abrir WhatsApp</v>
      </c>
      <c r="AM21" s="2" t="s">
        <v>123</v>
      </c>
      <c r="AN21" s="2" t="s">
        <v>313</v>
      </c>
      <c r="AO21" s="2" t="s">
        <v>314</v>
      </c>
      <c r="AP21" s="2"/>
    </row>
    <row r="22" spans="1:42" ht="50" x14ac:dyDescent="0.35">
      <c r="A22" s="2">
        <v>21</v>
      </c>
      <c r="B22" s="2" t="s">
        <v>42</v>
      </c>
      <c r="C22" s="2">
        <v>6.8</v>
      </c>
      <c r="D22" s="3" t="s">
        <v>43</v>
      </c>
      <c r="E22" s="3" t="s">
        <v>44</v>
      </c>
      <c r="F22" s="3" t="s">
        <v>45</v>
      </c>
      <c r="G22" s="2" t="s">
        <v>126</v>
      </c>
      <c r="H22" s="2" t="s">
        <v>126</v>
      </c>
      <c r="I22" s="2" t="s">
        <v>126</v>
      </c>
      <c r="J22" s="2" t="s">
        <v>315</v>
      </c>
      <c r="K22" s="2" t="s">
        <v>234</v>
      </c>
      <c r="L22" s="3"/>
      <c r="M22" s="3"/>
      <c r="N22" s="2" t="s">
        <v>316</v>
      </c>
      <c r="O22" s="2" t="s">
        <v>317</v>
      </c>
      <c r="P22" s="2"/>
      <c r="Q22" s="2" t="s">
        <v>318</v>
      </c>
      <c r="R22" s="2"/>
      <c r="S22" s="2"/>
      <c r="T22" s="2"/>
      <c r="U22" s="2"/>
      <c r="V22" s="2"/>
      <c r="W22" s="2"/>
      <c r="X22" s="5" t="s">
        <v>319</v>
      </c>
      <c r="Y22" s="2"/>
      <c r="Z22" s="5"/>
      <c r="AA22" s="2">
        <v>580</v>
      </c>
      <c r="AB22" s="2"/>
      <c r="AC22" s="5"/>
      <c r="AD22" s="5" t="s">
        <v>320</v>
      </c>
      <c r="AE22" s="3"/>
      <c r="AF22" s="6"/>
      <c r="AG22" s="7"/>
      <c r="AH22" s="2">
        <v>0</v>
      </c>
      <c r="AI22" s="7"/>
      <c r="AJ22" s="3"/>
      <c r="AK22" s="8"/>
      <c r="AL22" s="2" t="str">
        <f t="shared" si="0"/>
        <v>Abrir WhatsApp</v>
      </c>
      <c r="AM22" s="2" t="s">
        <v>238</v>
      </c>
      <c r="AN22" s="2" t="s">
        <v>321</v>
      </c>
      <c r="AO22" s="2" t="s">
        <v>322</v>
      </c>
      <c r="AP22" s="2"/>
    </row>
    <row r="23" spans="1:42" ht="50" x14ac:dyDescent="0.35">
      <c r="A23" s="2">
        <v>22</v>
      </c>
      <c r="B23" s="2" t="s">
        <v>42</v>
      </c>
      <c r="C23" s="2">
        <v>6.7</v>
      </c>
      <c r="D23" s="3" t="s">
        <v>43</v>
      </c>
      <c r="E23" s="3" t="s">
        <v>44</v>
      </c>
      <c r="F23" s="3" t="s">
        <v>45</v>
      </c>
      <c r="G23" s="2" t="s">
        <v>46</v>
      </c>
      <c r="H23" s="2" t="s">
        <v>323</v>
      </c>
      <c r="I23" s="2" t="s">
        <v>323</v>
      </c>
      <c r="J23" s="2" t="s">
        <v>324</v>
      </c>
      <c r="K23" s="2" t="s">
        <v>146</v>
      </c>
      <c r="L23" s="3"/>
      <c r="M23" s="3"/>
      <c r="N23" s="2" t="s">
        <v>325</v>
      </c>
      <c r="O23" s="2" t="s">
        <v>326</v>
      </c>
      <c r="P23" s="2"/>
      <c r="Q23" s="2" t="s">
        <v>327</v>
      </c>
      <c r="R23" s="4" t="s">
        <v>328</v>
      </c>
      <c r="S23" s="4" t="s">
        <v>151</v>
      </c>
      <c r="T23" s="4" t="s">
        <v>152</v>
      </c>
      <c r="U23" s="2"/>
      <c r="V23" s="2"/>
      <c r="W23" s="2"/>
      <c r="X23" s="5" t="s">
        <v>153</v>
      </c>
      <c r="Y23" s="2" t="s">
        <v>118</v>
      </c>
      <c r="Z23" s="5" t="s">
        <v>329</v>
      </c>
      <c r="AA23" s="2">
        <v>426</v>
      </c>
      <c r="AB23" s="2" t="s">
        <v>181</v>
      </c>
      <c r="AC23" s="5"/>
      <c r="AD23" s="5" t="s">
        <v>330</v>
      </c>
      <c r="AE23" s="3"/>
      <c r="AF23" s="6"/>
      <c r="AG23" s="7"/>
      <c r="AH23" s="2">
        <v>0</v>
      </c>
      <c r="AI23" s="7"/>
      <c r="AJ23" s="3"/>
      <c r="AK23" s="8"/>
      <c r="AL23" s="2" t="str">
        <f t="shared" si="0"/>
        <v>Abrir WhatsApp</v>
      </c>
      <c r="AM23" s="2" t="s">
        <v>158</v>
      </c>
      <c r="AN23" s="2" t="s">
        <v>331</v>
      </c>
      <c r="AO23" s="2" t="s">
        <v>332</v>
      </c>
      <c r="AP23" s="2"/>
    </row>
    <row r="24" spans="1:42" ht="37.5" x14ac:dyDescent="0.35">
      <c r="A24" s="2">
        <v>23</v>
      </c>
      <c r="B24" s="2" t="s">
        <v>42</v>
      </c>
      <c r="C24" s="2">
        <v>6.6</v>
      </c>
      <c r="D24" s="3" t="s">
        <v>43</v>
      </c>
      <c r="E24" s="3" t="s">
        <v>44</v>
      </c>
      <c r="F24" s="3" t="s">
        <v>45</v>
      </c>
      <c r="G24" s="2" t="s">
        <v>46</v>
      </c>
      <c r="H24" s="2" t="s">
        <v>284</v>
      </c>
      <c r="I24" s="2" t="s">
        <v>284</v>
      </c>
      <c r="J24" s="2" t="s">
        <v>333</v>
      </c>
      <c r="K24" s="2" t="s">
        <v>334</v>
      </c>
      <c r="L24" s="3"/>
      <c r="M24" s="3"/>
      <c r="N24" s="2" t="s">
        <v>288</v>
      </c>
      <c r="O24" s="2"/>
      <c r="P24" s="2"/>
      <c r="Q24" s="2" t="s">
        <v>335</v>
      </c>
      <c r="R24" s="4" t="s">
        <v>336</v>
      </c>
      <c r="S24" s="4" t="s">
        <v>337</v>
      </c>
      <c r="T24" s="4" t="s">
        <v>338</v>
      </c>
      <c r="U24" s="2">
        <v>4.9000000000000004</v>
      </c>
      <c r="V24" s="2">
        <v>8</v>
      </c>
      <c r="W24" s="2"/>
      <c r="X24" s="5" t="s">
        <v>339</v>
      </c>
      <c r="Y24" s="2" t="s">
        <v>66</v>
      </c>
      <c r="Z24" s="5" t="s">
        <v>340</v>
      </c>
      <c r="AA24" s="2">
        <v>412</v>
      </c>
      <c r="AB24" s="2" t="s">
        <v>341</v>
      </c>
      <c r="AC24" s="5"/>
      <c r="AD24" s="5" t="s">
        <v>342</v>
      </c>
      <c r="AE24" s="3"/>
      <c r="AF24" s="6"/>
      <c r="AG24" s="7"/>
      <c r="AH24" s="2">
        <v>0</v>
      </c>
      <c r="AI24" s="7"/>
      <c r="AJ24" s="3"/>
      <c r="AK24" s="8"/>
      <c r="AL24" s="2" t="str">
        <f t="shared" si="0"/>
        <v/>
      </c>
      <c r="AM24" s="2" t="s">
        <v>343</v>
      </c>
      <c r="AN24" s="2" t="s">
        <v>344</v>
      </c>
      <c r="AO24" s="2" t="s">
        <v>345</v>
      </c>
      <c r="AP24" s="2"/>
    </row>
    <row r="25" spans="1:42" ht="50" x14ac:dyDescent="0.35">
      <c r="A25" s="2">
        <v>24</v>
      </c>
      <c r="B25" s="2" t="s">
        <v>42</v>
      </c>
      <c r="C25" s="2">
        <v>6.6</v>
      </c>
      <c r="D25" s="3" t="s">
        <v>43</v>
      </c>
      <c r="E25" s="3" t="s">
        <v>44</v>
      </c>
      <c r="F25" s="3" t="s">
        <v>45</v>
      </c>
      <c r="G25" s="2" t="s">
        <v>126</v>
      </c>
      <c r="H25" s="2" t="s">
        <v>346</v>
      </c>
      <c r="I25" s="2" t="s">
        <v>346</v>
      </c>
      <c r="J25" s="2" t="s">
        <v>347</v>
      </c>
      <c r="K25" s="2" t="s">
        <v>348</v>
      </c>
      <c r="L25" s="3"/>
      <c r="M25" s="3"/>
      <c r="N25" s="2" t="s">
        <v>349</v>
      </c>
      <c r="O25" s="2" t="s">
        <v>350</v>
      </c>
      <c r="P25" s="2"/>
      <c r="Q25" s="2" t="s">
        <v>351</v>
      </c>
      <c r="R25" s="4" t="s">
        <v>352</v>
      </c>
      <c r="S25" s="4" t="s">
        <v>353</v>
      </c>
      <c r="T25" s="2"/>
      <c r="U25" s="2">
        <v>4.2</v>
      </c>
      <c r="V25" s="2">
        <v>6</v>
      </c>
      <c r="W25" s="2"/>
      <c r="X25" s="5" t="s">
        <v>354</v>
      </c>
      <c r="Y25" s="2" t="s">
        <v>66</v>
      </c>
      <c r="Z25" s="5" t="s">
        <v>355</v>
      </c>
      <c r="AA25" s="2">
        <v>524</v>
      </c>
      <c r="AB25" s="2" t="s">
        <v>356</v>
      </c>
      <c r="AC25" s="5"/>
      <c r="AD25" s="5" t="s">
        <v>357</v>
      </c>
      <c r="AE25" s="3"/>
      <c r="AF25" s="6"/>
      <c r="AG25" s="7"/>
      <c r="AH25" s="2">
        <v>0</v>
      </c>
      <c r="AI25" s="7"/>
      <c r="AJ25" s="3"/>
      <c r="AK25" s="8"/>
      <c r="AL25" s="2" t="str">
        <f t="shared" si="0"/>
        <v>Abrir WhatsApp</v>
      </c>
      <c r="AM25" s="2" t="s">
        <v>358</v>
      </c>
      <c r="AN25" s="2" t="s">
        <v>359</v>
      </c>
      <c r="AO25" s="2" t="s">
        <v>360</v>
      </c>
      <c r="AP25" s="2"/>
    </row>
    <row r="26" spans="1:42" ht="37.5" x14ac:dyDescent="0.35">
      <c r="A26" s="2">
        <v>25</v>
      </c>
      <c r="B26" s="2" t="s">
        <v>42</v>
      </c>
      <c r="C26" s="2">
        <v>6.6</v>
      </c>
      <c r="D26" s="3" t="s">
        <v>43</v>
      </c>
      <c r="E26" s="3" t="s">
        <v>44</v>
      </c>
      <c r="F26" s="3" t="s">
        <v>45</v>
      </c>
      <c r="G26" s="2" t="s">
        <v>74</v>
      </c>
      <c r="H26" s="2" t="s">
        <v>361</v>
      </c>
      <c r="I26" s="2" t="s">
        <v>361</v>
      </c>
      <c r="J26" s="2" t="s">
        <v>362</v>
      </c>
      <c r="K26" s="2" t="s">
        <v>363</v>
      </c>
      <c r="L26" s="3"/>
      <c r="M26" s="3"/>
      <c r="N26" s="2" t="s">
        <v>364</v>
      </c>
      <c r="O26" s="2"/>
      <c r="P26" s="2"/>
      <c r="Q26" s="2"/>
      <c r="R26" s="2"/>
      <c r="S26" s="2"/>
      <c r="T26" s="2"/>
      <c r="U26" s="2"/>
      <c r="V26" s="2"/>
      <c r="W26" s="2"/>
      <c r="X26" s="5" t="s">
        <v>224</v>
      </c>
      <c r="Y26" s="2"/>
      <c r="Z26" s="5"/>
      <c r="AA26" s="2">
        <v>410</v>
      </c>
      <c r="AB26" s="2"/>
      <c r="AC26" s="5"/>
      <c r="AD26" s="5" t="s">
        <v>365</v>
      </c>
      <c r="AE26" s="3"/>
      <c r="AF26" s="6"/>
      <c r="AG26" s="7"/>
      <c r="AH26" s="2">
        <v>0</v>
      </c>
      <c r="AI26" s="7"/>
      <c r="AJ26" s="3"/>
      <c r="AK26" s="8"/>
      <c r="AL26" s="2" t="str">
        <f t="shared" si="0"/>
        <v/>
      </c>
      <c r="AM26" s="2"/>
      <c r="AN26" s="2" t="s">
        <v>366</v>
      </c>
      <c r="AO26" s="2" t="s">
        <v>367</v>
      </c>
      <c r="AP26" s="2"/>
    </row>
    <row r="27" spans="1:42" ht="62.5" x14ac:dyDescent="0.35">
      <c r="A27" s="2">
        <v>26</v>
      </c>
      <c r="B27" s="2" t="s">
        <v>42</v>
      </c>
      <c r="C27" s="2">
        <v>6.5</v>
      </c>
      <c r="D27" s="3" t="s">
        <v>43</v>
      </c>
      <c r="E27" s="3" t="s">
        <v>44</v>
      </c>
      <c r="F27" s="3" t="s">
        <v>45</v>
      </c>
      <c r="G27" s="2" t="s">
        <v>46</v>
      </c>
      <c r="H27" s="2" t="s">
        <v>46</v>
      </c>
      <c r="I27" s="2" t="s">
        <v>46</v>
      </c>
      <c r="J27" s="2" t="s">
        <v>368</v>
      </c>
      <c r="K27" s="2" t="s">
        <v>163</v>
      </c>
      <c r="L27" s="3"/>
      <c r="M27" s="3"/>
      <c r="N27" s="2" t="s">
        <v>369</v>
      </c>
      <c r="O27" s="2" t="s">
        <v>370</v>
      </c>
      <c r="P27" s="2"/>
      <c r="Q27" s="2" t="s">
        <v>371</v>
      </c>
      <c r="R27" s="4" t="s">
        <v>167</v>
      </c>
      <c r="S27" s="4" t="s">
        <v>168</v>
      </c>
      <c r="T27" s="2"/>
      <c r="U27" s="2">
        <v>4.5999999999999996</v>
      </c>
      <c r="V27" s="2">
        <v>18</v>
      </c>
      <c r="W27" s="2"/>
      <c r="X27" s="5" t="s">
        <v>372</v>
      </c>
      <c r="Y27" s="2" t="s">
        <v>66</v>
      </c>
      <c r="Z27" s="5" t="s">
        <v>373</v>
      </c>
      <c r="AA27" s="2">
        <v>380</v>
      </c>
      <c r="AB27" s="2" t="s">
        <v>374</v>
      </c>
      <c r="AC27" s="5"/>
      <c r="AD27" s="5" t="s">
        <v>375</v>
      </c>
      <c r="AE27" s="3"/>
      <c r="AF27" s="6"/>
      <c r="AG27" s="7"/>
      <c r="AH27" s="2">
        <v>0</v>
      </c>
      <c r="AI27" s="7"/>
      <c r="AJ27" s="3"/>
      <c r="AK27" s="8"/>
      <c r="AL27" s="2" t="str">
        <f t="shared" si="0"/>
        <v>Abrir WhatsApp</v>
      </c>
      <c r="AM27" s="2" t="s">
        <v>376</v>
      </c>
      <c r="AN27" s="2" t="s">
        <v>377</v>
      </c>
      <c r="AO27" s="2" t="s">
        <v>378</v>
      </c>
      <c r="AP27" s="2"/>
    </row>
    <row r="28" spans="1:42" ht="75" x14ac:dyDescent="0.35">
      <c r="A28" s="2">
        <v>27</v>
      </c>
      <c r="B28" s="2" t="s">
        <v>42</v>
      </c>
      <c r="C28" s="2">
        <v>6.5</v>
      </c>
      <c r="D28" s="3" t="s">
        <v>43</v>
      </c>
      <c r="E28" s="3" t="s">
        <v>44</v>
      </c>
      <c r="F28" s="3" t="s">
        <v>45</v>
      </c>
      <c r="G28" s="2" t="s">
        <v>74</v>
      </c>
      <c r="H28" s="2" t="s">
        <v>379</v>
      </c>
      <c r="I28" s="2" t="s">
        <v>379</v>
      </c>
      <c r="J28" s="2" t="s">
        <v>380</v>
      </c>
      <c r="K28" s="2" t="s">
        <v>381</v>
      </c>
      <c r="L28" s="3"/>
      <c r="M28" s="3"/>
      <c r="N28" s="2" t="s">
        <v>382</v>
      </c>
      <c r="O28" s="2" t="s">
        <v>383</v>
      </c>
      <c r="P28" s="2"/>
      <c r="Q28" s="2" t="s">
        <v>384</v>
      </c>
      <c r="R28" s="4" t="s">
        <v>385</v>
      </c>
      <c r="S28" s="4" t="s">
        <v>386</v>
      </c>
      <c r="T28" s="2"/>
      <c r="U28" s="2"/>
      <c r="V28" s="2"/>
      <c r="W28" s="2"/>
      <c r="X28" s="5" t="s">
        <v>387</v>
      </c>
      <c r="Y28" s="2" t="s">
        <v>66</v>
      </c>
      <c r="Z28" s="5" t="s">
        <v>388</v>
      </c>
      <c r="AA28" s="2">
        <v>365</v>
      </c>
      <c r="AB28" s="2" t="s">
        <v>389</v>
      </c>
      <c r="AC28" s="5"/>
      <c r="AD28" s="5" t="s">
        <v>390</v>
      </c>
      <c r="AE28" s="3"/>
      <c r="AF28" s="6"/>
      <c r="AG28" s="7"/>
      <c r="AH28" s="2">
        <v>0</v>
      </c>
      <c r="AI28" s="7"/>
      <c r="AJ28" s="3"/>
      <c r="AK28" s="8"/>
      <c r="AL28" s="2" t="str">
        <f t="shared" si="0"/>
        <v>Abrir WhatsApp</v>
      </c>
      <c r="AM28" s="2" t="s">
        <v>281</v>
      </c>
      <c r="AN28" s="2" t="s">
        <v>391</v>
      </c>
      <c r="AO28" s="2" t="s">
        <v>392</v>
      </c>
      <c r="AP28" s="2"/>
    </row>
    <row r="29" spans="1:42" ht="175" x14ac:dyDescent="0.35">
      <c r="A29" s="2">
        <v>28</v>
      </c>
      <c r="B29" s="2" t="s">
        <v>42</v>
      </c>
      <c r="C29" s="2">
        <v>6.5</v>
      </c>
      <c r="D29" s="3" t="s">
        <v>43</v>
      </c>
      <c r="E29" s="3" t="s">
        <v>44</v>
      </c>
      <c r="F29" s="3" t="s">
        <v>45</v>
      </c>
      <c r="G29" s="2" t="s">
        <v>393</v>
      </c>
      <c r="H29" s="2" t="s">
        <v>393</v>
      </c>
      <c r="I29" s="2" t="s">
        <v>393</v>
      </c>
      <c r="J29" s="2" t="s">
        <v>394</v>
      </c>
      <c r="K29" s="2" t="s">
        <v>395</v>
      </c>
      <c r="L29" s="3"/>
      <c r="M29" s="3"/>
      <c r="N29" s="2" t="s">
        <v>396</v>
      </c>
      <c r="O29" s="2" t="s">
        <v>397</v>
      </c>
      <c r="P29" s="2"/>
      <c r="Q29" s="2" t="s">
        <v>398</v>
      </c>
      <c r="R29" s="4" t="s">
        <v>399</v>
      </c>
      <c r="S29" s="4" t="s">
        <v>400</v>
      </c>
      <c r="T29" s="4" t="s">
        <v>401</v>
      </c>
      <c r="U29" s="2">
        <v>4.3</v>
      </c>
      <c r="V29" s="2">
        <v>40</v>
      </c>
      <c r="W29" s="2" t="s">
        <v>402</v>
      </c>
      <c r="X29" s="5" t="s">
        <v>403</v>
      </c>
      <c r="Y29" s="2" t="s">
        <v>66</v>
      </c>
      <c r="Z29" s="5" t="s">
        <v>404</v>
      </c>
      <c r="AA29" s="2">
        <v>790</v>
      </c>
      <c r="AB29" s="2" t="s">
        <v>405</v>
      </c>
      <c r="AC29" s="5" t="s">
        <v>406</v>
      </c>
      <c r="AD29" s="5" t="s">
        <v>407</v>
      </c>
      <c r="AE29" s="3"/>
      <c r="AF29" s="6"/>
      <c r="AG29" s="7"/>
      <c r="AH29" s="2">
        <v>0</v>
      </c>
      <c r="AI29" s="7"/>
      <c r="AJ29" s="3"/>
      <c r="AK29" s="8"/>
      <c r="AL29" s="2" t="str">
        <f t="shared" si="0"/>
        <v>Abrir WhatsApp</v>
      </c>
      <c r="AM29" s="2" t="s">
        <v>408</v>
      </c>
      <c r="AN29" s="2" t="s">
        <v>409</v>
      </c>
      <c r="AO29" s="2" t="s">
        <v>410</v>
      </c>
      <c r="AP29" s="2"/>
    </row>
    <row r="30" spans="1:42" ht="37.5" x14ac:dyDescent="0.35">
      <c r="A30" s="2">
        <v>29</v>
      </c>
      <c r="B30" s="2" t="s">
        <v>42</v>
      </c>
      <c r="C30" s="2">
        <v>6.4</v>
      </c>
      <c r="D30" s="3" t="s">
        <v>43</v>
      </c>
      <c r="E30" s="3" t="s">
        <v>44</v>
      </c>
      <c r="F30" s="3" t="s">
        <v>45</v>
      </c>
      <c r="G30" s="2" t="s">
        <v>46</v>
      </c>
      <c r="H30" s="2" t="s">
        <v>323</v>
      </c>
      <c r="I30" s="2" t="s">
        <v>411</v>
      </c>
      <c r="J30" s="2" t="s">
        <v>412</v>
      </c>
      <c r="K30" s="2" t="s">
        <v>163</v>
      </c>
      <c r="L30" s="3"/>
      <c r="M30" s="3"/>
      <c r="N30" s="2" t="s">
        <v>413</v>
      </c>
      <c r="O30" s="2" t="s">
        <v>414</v>
      </c>
      <c r="P30" s="2"/>
      <c r="Q30" s="2" t="s">
        <v>415</v>
      </c>
      <c r="R30" s="4" t="s">
        <v>167</v>
      </c>
      <c r="S30" s="4" t="s">
        <v>168</v>
      </c>
      <c r="T30" s="2"/>
      <c r="U30" s="2">
        <v>4.5999999999999996</v>
      </c>
      <c r="V30" s="2">
        <v>8</v>
      </c>
      <c r="W30" s="2"/>
      <c r="X30" s="5" t="s">
        <v>169</v>
      </c>
      <c r="Y30" s="2" t="s">
        <v>66</v>
      </c>
      <c r="Z30" s="5" t="s">
        <v>416</v>
      </c>
      <c r="AA30" s="2">
        <v>346</v>
      </c>
      <c r="AB30" s="2"/>
      <c r="AC30" s="5"/>
      <c r="AD30" s="5" t="s">
        <v>417</v>
      </c>
      <c r="AE30" s="3"/>
      <c r="AF30" s="6"/>
      <c r="AG30" s="7"/>
      <c r="AH30" s="2">
        <v>0</v>
      </c>
      <c r="AI30" s="7"/>
      <c r="AJ30" s="3"/>
      <c r="AK30" s="8"/>
      <c r="AL30" s="2" t="str">
        <f t="shared" si="0"/>
        <v>Abrir WhatsApp</v>
      </c>
      <c r="AM30" s="2"/>
      <c r="AN30" s="2" t="s">
        <v>418</v>
      </c>
      <c r="AO30" s="2" t="s">
        <v>419</v>
      </c>
      <c r="AP30" s="2"/>
    </row>
    <row r="31" spans="1:42" ht="37.5" x14ac:dyDescent="0.35">
      <c r="A31" s="2">
        <v>30</v>
      </c>
      <c r="B31" s="2" t="s">
        <v>42</v>
      </c>
      <c r="C31" s="2">
        <v>6.4</v>
      </c>
      <c r="D31" s="3" t="s">
        <v>43</v>
      </c>
      <c r="E31" s="3" t="s">
        <v>44</v>
      </c>
      <c r="F31" s="3" t="s">
        <v>45</v>
      </c>
      <c r="G31" s="2" t="s">
        <v>126</v>
      </c>
      <c r="H31" s="2" t="s">
        <v>346</v>
      </c>
      <c r="I31" s="2" t="s">
        <v>420</v>
      </c>
      <c r="J31" s="2" t="s">
        <v>421</v>
      </c>
      <c r="K31" s="2" t="s">
        <v>348</v>
      </c>
      <c r="L31" s="3"/>
      <c r="M31" s="3"/>
      <c r="N31" s="2" t="s">
        <v>422</v>
      </c>
      <c r="O31" s="2" t="s">
        <v>423</v>
      </c>
      <c r="P31" s="2"/>
      <c r="Q31" s="2" t="s">
        <v>424</v>
      </c>
      <c r="R31" s="4" t="s">
        <v>425</v>
      </c>
      <c r="S31" s="4" t="s">
        <v>353</v>
      </c>
      <c r="T31" s="2"/>
      <c r="U31" s="2">
        <v>4</v>
      </c>
      <c r="V31" s="2">
        <v>4</v>
      </c>
      <c r="W31" s="2"/>
      <c r="X31" s="5" t="s">
        <v>354</v>
      </c>
      <c r="Y31" s="2" t="s">
        <v>66</v>
      </c>
      <c r="Z31" s="5" t="s">
        <v>426</v>
      </c>
      <c r="AA31" s="2">
        <v>98</v>
      </c>
      <c r="AB31" s="2"/>
      <c r="AC31" s="5" t="s">
        <v>427</v>
      </c>
      <c r="AD31" s="5" t="s">
        <v>428</v>
      </c>
      <c r="AE31" s="3"/>
      <c r="AF31" s="6"/>
      <c r="AG31" s="7"/>
      <c r="AH31" s="2">
        <v>0</v>
      </c>
      <c r="AI31" s="7"/>
      <c r="AJ31" s="3"/>
      <c r="AK31" s="8"/>
      <c r="AL31" s="2" t="str">
        <f t="shared" si="0"/>
        <v>Abrir WhatsApp</v>
      </c>
      <c r="AM31" s="2" t="s">
        <v>358</v>
      </c>
      <c r="AN31" s="2" t="s">
        <v>429</v>
      </c>
      <c r="AO31" s="2" t="s">
        <v>430</v>
      </c>
      <c r="AP31" s="2"/>
    </row>
    <row r="32" spans="1:42" ht="100" x14ac:dyDescent="0.35">
      <c r="A32" s="2">
        <v>31</v>
      </c>
      <c r="B32" s="2" t="s">
        <v>42</v>
      </c>
      <c r="C32" s="2">
        <v>6.4</v>
      </c>
      <c r="D32" s="3" t="s">
        <v>43</v>
      </c>
      <c r="E32" s="3" t="s">
        <v>44</v>
      </c>
      <c r="F32" s="3" t="s">
        <v>45</v>
      </c>
      <c r="G32" s="2" t="s">
        <v>126</v>
      </c>
      <c r="H32" s="2" t="s">
        <v>126</v>
      </c>
      <c r="I32" s="2" t="s">
        <v>431</v>
      </c>
      <c r="J32" s="2" t="s">
        <v>432</v>
      </c>
      <c r="K32" s="2" t="s">
        <v>433</v>
      </c>
      <c r="L32" s="3"/>
      <c r="M32" s="3"/>
      <c r="N32" s="2" t="s">
        <v>434</v>
      </c>
      <c r="O32" s="2" t="s">
        <v>435</v>
      </c>
      <c r="P32" s="2"/>
      <c r="Q32" s="2" t="s">
        <v>436</v>
      </c>
      <c r="R32" s="4" t="s">
        <v>437</v>
      </c>
      <c r="S32" s="4" t="s">
        <v>438</v>
      </c>
      <c r="T32" s="2"/>
      <c r="U32" s="2">
        <v>4.4000000000000004</v>
      </c>
      <c r="V32" s="2">
        <v>31</v>
      </c>
      <c r="W32" s="2"/>
      <c r="X32" s="5" t="s">
        <v>439</v>
      </c>
      <c r="Y32" s="2" t="s">
        <v>66</v>
      </c>
      <c r="Z32" s="5" t="s">
        <v>440</v>
      </c>
      <c r="AA32" s="2">
        <v>349</v>
      </c>
      <c r="AB32" s="2" t="s">
        <v>441</v>
      </c>
      <c r="AC32" s="5" t="s">
        <v>442</v>
      </c>
      <c r="AD32" s="5" t="s">
        <v>443</v>
      </c>
      <c r="AE32" s="3"/>
      <c r="AF32" s="6"/>
      <c r="AG32" s="7"/>
      <c r="AH32" s="2">
        <v>0</v>
      </c>
      <c r="AI32" s="7"/>
      <c r="AJ32" s="3"/>
      <c r="AK32" s="8"/>
      <c r="AL32" s="2" t="str">
        <f t="shared" si="0"/>
        <v>Abrir WhatsApp</v>
      </c>
      <c r="AM32" s="2" t="s">
        <v>444</v>
      </c>
      <c r="AN32" s="2" t="s">
        <v>445</v>
      </c>
      <c r="AO32" s="2" t="s">
        <v>446</v>
      </c>
      <c r="AP32" s="2"/>
    </row>
    <row r="33" spans="1:42" ht="50" x14ac:dyDescent="0.35">
      <c r="A33" s="2">
        <v>32</v>
      </c>
      <c r="B33" s="2" t="s">
        <v>42</v>
      </c>
      <c r="C33" s="2">
        <v>6.4</v>
      </c>
      <c r="D33" s="3" t="s">
        <v>43</v>
      </c>
      <c r="E33" s="3" t="s">
        <v>44</v>
      </c>
      <c r="F33" s="3" t="s">
        <v>45</v>
      </c>
      <c r="G33" s="2" t="s">
        <v>74</v>
      </c>
      <c r="H33" s="2" t="s">
        <v>447</v>
      </c>
      <c r="I33" s="2" t="s">
        <v>447</v>
      </c>
      <c r="J33" s="2" t="s">
        <v>448</v>
      </c>
      <c r="K33" s="2" t="s">
        <v>296</v>
      </c>
      <c r="L33" s="3"/>
      <c r="M33" s="3"/>
      <c r="N33" s="2" t="s">
        <v>449</v>
      </c>
      <c r="O33" s="2"/>
      <c r="P33" s="2"/>
      <c r="Q33" s="2"/>
      <c r="R33" s="2"/>
      <c r="S33" s="4" t="s">
        <v>450</v>
      </c>
      <c r="T33" s="2"/>
      <c r="U33" s="2"/>
      <c r="V33" s="2"/>
      <c r="W33" s="2"/>
      <c r="X33" s="5" t="s">
        <v>224</v>
      </c>
      <c r="Y33" s="2"/>
      <c r="Z33" s="5"/>
      <c r="AA33" s="2">
        <v>351</v>
      </c>
      <c r="AB33" s="2"/>
      <c r="AC33" s="5"/>
      <c r="AD33" s="5" t="s">
        <v>451</v>
      </c>
      <c r="AE33" s="3"/>
      <c r="AF33" s="6"/>
      <c r="AG33" s="7"/>
      <c r="AH33" s="2">
        <v>0</v>
      </c>
      <c r="AI33" s="7"/>
      <c r="AJ33" s="3"/>
      <c r="AK33" s="8"/>
      <c r="AL33" s="2" t="str">
        <f t="shared" si="0"/>
        <v/>
      </c>
      <c r="AM33" s="2"/>
      <c r="AN33" s="2" t="s">
        <v>452</v>
      </c>
      <c r="AO33" s="2" t="s">
        <v>453</v>
      </c>
      <c r="AP33" s="2"/>
    </row>
    <row r="34" spans="1:42" ht="62.5" x14ac:dyDescent="0.35">
      <c r="A34" s="2">
        <v>33</v>
      </c>
      <c r="B34" s="2" t="s">
        <v>42</v>
      </c>
      <c r="C34" s="2">
        <v>6.3</v>
      </c>
      <c r="D34" s="3" t="s">
        <v>43</v>
      </c>
      <c r="E34" s="3" t="s">
        <v>44</v>
      </c>
      <c r="F34" s="3" t="s">
        <v>45</v>
      </c>
      <c r="G34" s="2" t="s">
        <v>107</v>
      </c>
      <c r="H34" s="2" t="s">
        <v>107</v>
      </c>
      <c r="I34" s="2" t="s">
        <v>454</v>
      </c>
      <c r="J34" s="2" t="s">
        <v>455</v>
      </c>
      <c r="K34" s="2" t="s">
        <v>456</v>
      </c>
      <c r="L34" s="3"/>
      <c r="M34" s="3"/>
      <c r="N34" s="2"/>
      <c r="O34" s="2" t="s">
        <v>457</v>
      </c>
      <c r="P34" s="2"/>
      <c r="Q34" s="2"/>
      <c r="R34" s="2"/>
      <c r="S34" s="4" t="s">
        <v>458</v>
      </c>
      <c r="T34" s="2"/>
      <c r="U34" s="2">
        <v>4.7</v>
      </c>
      <c r="V34" s="2">
        <v>55</v>
      </c>
      <c r="W34" s="2"/>
      <c r="X34" s="5"/>
      <c r="Y34" s="2" t="s">
        <v>66</v>
      </c>
      <c r="Z34" s="5" t="s">
        <v>459</v>
      </c>
      <c r="AA34" s="2">
        <v>454</v>
      </c>
      <c r="AB34" s="2"/>
      <c r="AC34" s="5" t="s">
        <v>460</v>
      </c>
      <c r="AD34" s="5" t="s">
        <v>461</v>
      </c>
      <c r="AE34" s="3"/>
      <c r="AF34" s="6"/>
      <c r="AG34" s="7"/>
      <c r="AH34" s="2">
        <v>0</v>
      </c>
      <c r="AI34" s="7"/>
      <c r="AJ34" s="3"/>
      <c r="AK34" s="8"/>
      <c r="AL34" s="2" t="str">
        <f t="shared" si="0"/>
        <v>Abrir WhatsApp</v>
      </c>
      <c r="AM34" s="2" t="s">
        <v>462</v>
      </c>
      <c r="AN34" s="2" t="s">
        <v>463</v>
      </c>
      <c r="AO34" s="2" t="s">
        <v>464</v>
      </c>
      <c r="AP34" s="2"/>
    </row>
    <row r="35" spans="1:42" ht="62.5" x14ac:dyDescent="0.35">
      <c r="A35" s="2">
        <v>34</v>
      </c>
      <c r="B35" s="2" t="s">
        <v>42</v>
      </c>
      <c r="C35" s="2">
        <v>6.2</v>
      </c>
      <c r="D35" s="3" t="s">
        <v>43</v>
      </c>
      <c r="E35" s="3" t="s">
        <v>44</v>
      </c>
      <c r="F35" s="3" t="s">
        <v>45</v>
      </c>
      <c r="G35" s="2" t="s">
        <v>46</v>
      </c>
      <c r="H35" s="2" t="s">
        <v>161</v>
      </c>
      <c r="I35" s="2" t="s">
        <v>465</v>
      </c>
      <c r="J35" s="2" t="s">
        <v>466</v>
      </c>
      <c r="K35" s="2" t="s">
        <v>467</v>
      </c>
      <c r="L35" s="3"/>
      <c r="M35" s="3"/>
      <c r="N35" s="2"/>
      <c r="O35" s="2" t="s">
        <v>468</v>
      </c>
      <c r="P35" s="2"/>
      <c r="Q35" s="2"/>
      <c r="R35" s="4" t="s">
        <v>469</v>
      </c>
      <c r="S35" s="2"/>
      <c r="T35" s="2"/>
      <c r="U35" s="2">
        <v>4.7</v>
      </c>
      <c r="V35" s="2">
        <v>33</v>
      </c>
      <c r="W35" s="2"/>
      <c r="X35" s="5" t="s">
        <v>319</v>
      </c>
      <c r="Y35" s="2" t="s">
        <v>66</v>
      </c>
      <c r="Z35" s="5" t="s">
        <v>470</v>
      </c>
      <c r="AA35" s="2">
        <v>168</v>
      </c>
      <c r="AB35" s="2"/>
      <c r="AC35" s="5" t="s">
        <v>471</v>
      </c>
      <c r="AD35" s="5" t="s">
        <v>472</v>
      </c>
      <c r="AE35" s="3"/>
      <c r="AF35" s="6"/>
      <c r="AG35" s="7"/>
      <c r="AH35" s="2">
        <v>0</v>
      </c>
      <c r="AI35" s="7"/>
      <c r="AJ35" s="3"/>
      <c r="AK35" s="8"/>
      <c r="AL35" s="2" t="str">
        <f t="shared" si="0"/>
        <v>Abrir WhatsApp</v>
      </c>
      <c r="AM35" s="2"/>
      <c r="AN35" s="2" t="s">
        <v>473</v>
      </c>
      <c r="AO35" s="2" t="s">
        <v>474</v>
      </c>
      <c r="AP35" s="2"/>
    </row>
    <row r="36" spans="1:42" ht="25" x14ac:dyDescent="0.35">
      <c r="A36" s="2">
        <v>35</v>
      </c>
      <c r="B36" s="2" t="s">
        <v>42</v>
      </c>
      <c r="C36" s="2">
        <v>6.2</v>
      </c>
      <c r="D36" s="3" t="s">
        <v>43</v>
      </c>
      <c r="E36" s="3" t="s">
        <v>44</v>
      </c>
      <c r="F36" s="3" t="s">
        <v>45</v>
      </c>
      <c r="G36" s="2" t="s">
        <v>46</v>
      </c>
      <c r="H36" s="2" t="s">
        <v>47</v>
      </c>
      <c r="I36" s="2" t="s">
        <v>47</v>
      </c>
      <c r="J36" s="2" t="s">
        <v>475</v>
      </c>
      <c r="K36" s="2" t="s">
        <v>476</v>
      </c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5"/>
      <c r="Y36" s="2"/>
      <c r="Z36" s="5"/>
      <c r="AA36" s="2">
        <v>294</v>
      </c>
      <c r="AB36" s="2"/>
      <c r="AC36" s="5"/>
      <c r="AD36" s="5" t="s">
        <v>477</v>
      </c>
      <c r="AE36" s="3"/>
      <c r="AF36" s="6"/>
      <c r="AG36" s="7"/>
      <c r="AH36" s="2">
        <v>0</v>
      </c>
      <c r="AI36" s="7"/>
      <c r="AJ36" s="3"/>
      <c r="AK36" s="8"/>
      <c r="AL36" s="2" t="str">
        <f t="shared" si="0"/>
        <v/>
      </c>
      <c r="AM36" s="2"/>
      <c r="AN36" s="2" t="s">
        <v>478</v>
      </c>
      <c r="AO36" s="2" t="s">
        <v>479</v>
      </c>
      <c r="AP36" s="2"/>
    </row>
    <row r="37" spans="1:42" ht="50" x14ac:dyDescent="0.35">
      <c r="A37" s="2">
        <v>36</v>
      </c>
      <c r="B37" s="2" t="s">
        <v>42</v>
      </c>
      <c r="C37" s="2">
        <v>6.2</v>
      </c>
      <c r="D37" s="3" t="s">
        <v>43</v>
      </c>
      <c r="E37" s="3" t="s">
        <v>44</v>
      </c>
      <c r="F37" s="3" t="s">
        <v>45</v>
      </c>
      <c r="G37" s="2" t="s">
        <v>107</v>
      </c>
      <c r="H37" s="2" t="s">
        <v>480</v>
      </c>
      <c r="I37" s="2" t="s">
        <v>480</v>
      </c>
      <c r="J37" s="2" t="s">
        <v>481</v>
      </c>
      <c r="K37" s="2" t="s">
        <v>482</v>
      </c>
      <c r="L37" s="3"/>
      <c r="M37" s="3"/>
      <c r="N37" s="2" t="s">
        <v>483</v>
      </c>
      <c r="O37" s="2" t="s">
        <v>484</v>
      </c>
      <c r="P37" s="2" t="s">
        <v>130</v>
      </c>
      <c r="Q37" s="2"/>
      <c r="R37" s="4" t="s">
        <v>485</v>
      </c>
      <c r="S37" s="2" t="s">
        <v>486</v>
      </c>
      <c r="T37" s="2"/>
      <c r="U37" s="2">
        <v>4.5</v>
      </c>
      <c r="V37" s="2">
        <v>30</v>
      </c>
      <c r="W37" s="2"/>
      <c r="X37" s="5" t="s">
        <v>487</v>
      </c>
      <c r="Y37" s="2" t="s">
        <v>66</v>
      </c>
      <c r="Z37" s="5" t="s">
        <v>488</v>
      </c>
      <c r="AA37" s="2">
        <v>433</v>
      </c>
      <c r="AB37" s="2"/>
      <c r="AC37" s="5" t="s">
        <v>489</v>
      </c>
      <c r="AD37" s="5" t="s">
        <v>490</v>
      </c>
      <c r="AE37" s="3"/>
      <c r="AF37" s="6"/>
      <c r="AG37" s="7"/>
      <c r="AH37" s="2">
        <v>0</v>
      </c>
      <c r="AI37" s="7"/>
      <c r="AJ37" s="3"/>
      <c r="AK37" s="8"/>
      <c r="AL37" s="2" t="str">
        <f t="shared" si="0"/>
        <v>Abrir WhatsApp</v>
      </c>
      <c r="AM37" s="2" t="s">
        <v>491</v>
      </c>
      <c r="AN37" s="2" t="s">
        <v>492</v>
      </c>
      <c r="AO37" s="2" t="s">
        <v>493</v>
      </c>
      <c r="AP37" s="2"/>
    </row>
    <row r="38" spans="1:42" ht="100" x14ac:dyDescent="0.35">
      <c r="A38" s="2">
        <v>37</v>
      </c>
      <c r="B38" s="2" t="s">
        <v>42</v>
      </c>
      <c r="C38" s="2">
        <v>6.2</v>
      </c>
      <c r="D38" s="3" t="s">
        <v>43</v>
      </c>
      <c r="E38" s="3" t="s">
        <v>44</v>
      </c>
      <c r="F38" s="3" t="s">
        <v>45</v>
      </c>
      <c r="G38" s="2" t="s">
        <v>107</v>
      </c>
      <c r="H38" s="2" t="s">
        <v>107</v>
      </c>
      <c r="I38" s="2" t="s">
        <v>107</v>
      </c>
      <c r="J38" s="2" t="s">
        <v>494</v>
      </c>
      <c r="K38" s="2" t="s">
        <v>456</v>
      </c>
      <c r="L38" s="3"/>
      <c r="M38" s="3"/>
      <c r="N38" s="2"/>
      <c r="O38" s="2" t="s">
        <v>495</v>
      </c>
      <c r="P38" s="2"/>
      <c r="Q38" s="2"/>
      <c r="R38" s="2"/>
      <c r="S38" s="4" t="s">
        <v>496</v>
      </c>
      <c r="T38" s="4" t="s">
        <v>497</v>
      </c>
      <c r="U38" s="2">
        <v>4.5999999999999996</v>
      </c>
      <c r="V38" s="2">
        <v>54</v>
      </c>
      <c r="W38" s="2"/>
      <c r="X38" s="5" t="s">
        <v>498</v>
      </c>
      <c r="Y38" s="2" t="s">
        <v>66</v>
      </c>
      <c r="Z38" s="5" t="s">
        <v>499</v>
      </c>
      <c r="AA38" s="2">
        <v>416</v>
      </c>
      <c r="AB38" s="2"/>
      <c r="AC38" s="5" t="s">
        <v>500</v>
      </c>
      <c r="AD38" s="5" t="s">
        <v>501</v>
      </c>
      <c r="AE38" s="3"/>
      <c r="AF38" s="6"/>
      <c r="AG38" s="7"/>
      <c r="AH38" s="2">
        <v>0</v>
      </c>
      <c r="AI38" s="7"/>
      <c r="AJ38" s="3"/>
      <c r="AK38" s="8"/>
      <c r="AL38" s="2" t="str">
        <f t="shared" si="0"/>
        <v>Abrir WhatsApp</v>
      </c>
      <c r="AM38" s="2" t="s">
        <v>462</v>
      </c>
      <c r="AN38" s="2" t="s">
        <v>502</v>
      </c>
      <c r="AO38" s="2" t="s">
        <v>503</v>
      </c>
      <c r="AP38" s="2"/>
    </row>
    <row r="39" spans="1:42" ht="62.5" x14ac:dyDescent="0.35">
      <c r="A39" s="2">
        <v>38</v>
      </c>
      <c r="B39" s="2" t="s">
        <v>42</v>
      </c>
      <c r="C39" s="2">
        <v>6.1</v>
      </c>
      <c r="D39" s="3" t="s">
        <v>43</v>
      </c>
      <c r="E39" s="3" t="s">
        <v>44</v>
      </c>
      <c r="F39" s="3" t="s">
        <v>45</v>
      </c>
      <c r="G39" s="2" t="s">
        <v>107</v>
      </c>
      <c r="H39" s="2" t="s">
        <v>504</v>
      </c>
      <c r="I39" s="2" t="s">
        <v>504</v>
      </c>
      <c r="J39" s="2" t="s">
        <v>505</v>
      </c>
      <c r="K39" s="2" t="s">
        <v>506</v>
      </c>
      <c r="L39" s="3"/>
      <c r="M39" s="3"/>
      <c r="N39" s="2" t="s">
        <v>507</v>
      </c>
      <c r="O39" s="2" t="s">
        <v>508</v>
      </c>
      <c r="P39" s="2"/>
      <c r="Q39" s="2"/>
      <c r="R39" s="2"/>
      <c r="S39" s="2"/>
      <c r="T39" s="2"/>
      <c r="U39" s="2">
        <v>3.7</v>
      </c>
      <c r="V39" s="2">
        <v>3</v>
      </c>
      <c r="W39" s="2"/>
      <c r="X39" s="5"/>
      <c r="Y39" s="2" t="s">
        <v>66</v>
      </c>
      <c r="Z39" s="5" t="s">
        <v>509</v>
      </c>
      <c r="AA39" s="2">
        <v>283</v>
      </c>
      <c r="AB39" s="2"/>
      <c r="AC39" s="5"/>
      <c r="AD39" s="5" t="s">
        <v>510</v>
      </c>
      <c r="AE39" s="3"/>
      <c r="AF39" s="6"/>
      <c r="AG39" s="7"/>
      <c r="AH39" s="2">
        <v>0</v>
      </c>
      <c r="AI39" s="7"/>
      <c r="AJ39" s="3"/>
      <c r="AK39" s="8"/>
      <c r="AL39" s="2" t="str">
        <f t="shared" si="0"/>
        <v>Abrir WhatsApp</v>
      </c>
      <c r="AM39" s="2" t="s">
        <v>511</v>
      </c>
      <c r="AN39" s="2" t="s">
        <v>512</v>
      </c>
      <c r="AO39" s="2" t="s">
        <v>513</v>
      </c>
      <c r="AP39" s="2"/>
    </row>
    <row r="40" spans="1:42" ht="37.5" x14ac:dyDescent="0.35">
      <c r="A40" s="2">
        <v>39</v>
      </c>
      <c r="B40" s="2" t="s">
        <v>42</v>
      </c>
      <c r="C40" s="2">
        <v>6</v>
      </c>
      <c r="D40" s="3" t="s">
        <v>43</v>
      </c>
      <c r="E40" s="3" t="s">
        <v>44</v>
      </c>
      <c r="F40" s="3" t="s">
        <v>45</v>
      </c>
      <c r="G40" s="2" t="s">
        <v>46</v>
      </c>
      <c r="H40" s="2" t="s">
        <v>46</v>
      </c>
      <c r="I40" s="2" t="s">
        <v>46</v>
      </c>
      <c r="J40" s="2" t="s">
        <v>514</v>
      </c>
      <c r="K40" s="2" t="s">
        <v>146</v>
      </c>
      <c r="L40" s="3"/>
      <c r="M40" s="3"/>
      <c r="N40" s="2" t="s">
        <v>515</v>
      </c>
      <c r="O40" s="2" t="s">
        <v>516</v>
      </c>
      <c r="P40" s="2"/>
      <c r="Q40" s="2" t="s">
        <v>517</v>
      </c>
      <c r="R40" s="4" t="s">
        <v>518</v>
      </c>
      <c r="S40" s="4" t="s">
        <v>151</v>
      </c>
      <c r="T40" s="4" t="s">
        <v>152</v>
      </c>
      <c r="U40" s="2">
        <v>4.3</v>
      </c>
      <c r="V40" s="2">
        <v>9</v>
      </c>
      <c r="W40" s="2"/>
      <c r="X40" s="5" t="s">
        <v>153</v>
      </c>
      <c r="Y40" s="2" t="s">
        <v>66</v>
      </c>
      <c r="Z40" s="5" t="s">
        <v>519</v>
      </c>
      <c r="AA40" s="2">
        <v>239</v>
      </c>
      <c r="AB40" s="2" t="s">
        <v>181</v>
      </c>
      <c r="AC40" s="5"/>
      <c r="AD40" s="5" t="s">
        <v>520</v>
      </c>
      <c r="AE40" s="3"/>
      <c r="AF40" s="6"/>
      <c r="AG40" s="7"/>
      <c r="AH40" s="2">
        <v>0</v>
      </c>
      <c r="AI40" s="7"/>
      <c r="AJ40" s="3"/>
      <c r="AK40" s="8"/>
      <c r="AL40" s="2" t="str">
        <f t="shared" si="0"/>
        <v>Abrir WhatsApp</v>
      </c>
      <c r="AM40" s="2" t="s">
        <v>158</v>
      </c>
      <c r="AN40" s="2" t="s">
        <v>521</v>
      </c>
      <c r="AO40" s="2" t="s">
        <v>522</v>
      </c>
      <c r="AP40" s="2"/>
    </row>
    <row r="41" spans="1:42" ht="37.5" x14ac:dyDescent="0.35">
      <c r="A41" s="2">
        <v>40</v>
      </c>
      <c r="B41" s="2" t="s">
        <v>42</v>
      </c>
      <c r="C41" s="2">
        <v>5.9</v>
      </c>
      <c r="D41" s="3" t="s">
        <v>43</v>
      </c>
      <c r="E41" s="3" t="s">
        <v>44</v>
      </c>
      <c r="F41" s="3" t="s">
        <v>45</v>
      </c>
      <c r="G41" s="2" t="s">
        <v>46</v>
      </c>
      <c r="H41" s="2" t="s">
        <v>186</v>
      </c>
      <c r="I41" s="2" t="s">
        <v>523</v>
      </c>
      <c r="J41" s="2" t="s">
        <v>524</v>
      </c>
      <c r="K41" s="2" t="s">
        <v>525</v>
      </c>
      <c r="L41" s="3"/>
      <c r="M41" s="3"/>
      <c r="N41" s="2" t="s">
        <v>526</v>
      </c>
      <c r="O41" s="2"/>
      <c r="P41" s="2"/>
      <c r="Q41" s="2"/>
      <c r="R41" s="2"/>
      <c r="S41" s="4" t="s">
        <v>527</v>
      </c>
      <c r="T41" s="2"/>
      <c r="U41" s="2"/>
      <c r="V41" s="2"/>
      <c r="W41" s="2"/>
      <c r="X41" s="5"/>
      <c r="Y41" s="2"/>
      <c r="Z41" s="5"/>
      <c r="AA41" s="2">
        <v>224</v>
      </c>
      <c r="AB41" s="2"/>
      <c r="AC41" s="5"/>
      <c r="AD41" s="5" t="s">
        <v>528</v>
      </c>
      <c r="AE41" s="3"/>
      <c r="AF41" s="6"/>
      <c r="AG41" s="7"/>
      <c r="AH41" s="2">
        <v>0</v>
      </c>
      <c r="AI41" s="7"/>
      <c r="AJ41" s="3"/>
      <c r="AK41" s="8"/>
      <c r="AL41" s="2" t="str">
        <f t="shared" si="0"/>
        <v/>
      </c>
      <c r="AM41" s="2"/>
      <c r="AN41" s="2" t="s">
        <v>529</v>
      </c>
      <c r="AO41" s="2" t="s">
        <v>530</v>
      </c>
      <c r="AP41" s="2"/>
    </row>
    <row r="42" spans="1:42" ht="37.5" x14ac:dyDescent="0.35">
      <c r="A42" s="2">
        <v>41</v>
      </c>
      <c r="B42" s="2" t="s">
        <v>42</v>
      </c>
      <c r="C42" s="2">
        <v>5.9</v>
      </c>
      <c r="D42" s="3" t="s">
        <v>43</v>
      </c>
      <c r="E42" s="3" t="s">
        <v>44</v>
      </c>
      <c r="F42" s="3" t="s">
        <v>45</v>
      </c>
      <c r="G42" s="2" t="s">
        <v>46</v>
      </c>
      <c r="H42" s="2" t="s">
        <v>46</v>
      </c>
      <c r="I42" s="2" t="s">
        <v>531</v>
      </c>
      <c r="J42" s="2" t="s">
        <v>532</v>
      </c>
      <c r="K42" s="2" t="s">
        <v>260</v>
      </c>
      <c r="L42" s="3"/>
      <c r="M42" s="3"/>
      <c r="N42" s="2" t="s">
        <v>533</v>
      </c>
      <c r="O42" s="2" t="s">
        <v>534</v>
      </c>
      <c r="P42" s="2"/>
      <c r="Q42" s="2" t="s">
        <v>262</v>
      </c>
      <c r="R42" s="4" t="s">
        <v>263</v>
      </c>
      <c r="S42" s="4" t="s">
        <v>535</v>
      </c>
      <c r="T42" s="2"/>
      <c r="U42" s="2">
        <v>4</v>
      </c>
      <c r="V42" s="2">
        <v>4</v>
      </c>
      <c r="W42" s="2"/>
      <c r="X42" s="5" t="s">
        <v>319</v>
      </c>
      <c r="Y42" s="2" t="s">
        <v>66</v>
      </c>
      <c r="Z42" s="5" t="s">
        <v>536</v>
      </c>
      <c r="AA42" s="2">
        <v>233</v>
      </c>
      <c r="AB42" s="2"/>
      <c r="AC42" s="5"/>
      <c r="AD42" s="5" t="s">
        <v>537</v>
      </c>
      <c r="AE42" s="3"/>
      <c r="AF42" s="6"/>
      <c r="AG42" s="7"/>
      <c r="AH42" s="2">
        <v>0</v>
      </c>
      <c r="AI42" s="7"/>
      <c r="AJ42" s="3"/>
      <c r="AK42" s="8"/>
      <c r="AL42" s="2" t="str">
        <f t="shared" si="0"/>
        <v>Abrir WhatsApp</v>
      </c>
      <c r="AM42" s="2" t="s">
        <v>538</v>
      </c>
      <c r="AN42" s="2" t="s">
        <v>539</v>
      </c>
      <c r="AO42" s="2" t="s">
        <v>540</v>
      </c>
      <c r="AP42" s="2"/>
    </row>
    <row r="43" spans="1:42" ht="87.5" x14ac:dyDescent="0.35">
      <c r="A43" s="2">
        <v>42</v>
      </c>
      <c r="B43" s="2" t="s">
        <v>42</v>
      </c>
      <c r="C43" s="2">
        <v>5.9</v>
      </c>
      <c r="D43" s="3" t="s">
        <v>43</v>
      </c>
      <c r="E43" s="3" t="s">
        <v>44</v>
      </c>
      <c r="F43" s="3" t="s">
        <v>45</v>
      </c>
      <c r="G43" s="2" t="s">
        <v>126</v>
      </c>
      <c r="H43" s="2" t="s">
        <v>541</v>
      </c>
      <c r="I43" s="2" t="s">
        <v>541</v>
      </c>
      <c r="J43" s="2" t="s">
        <v>542</v>
      </c>
      <c r="K43" s="2" t="s">
        <v>543</v>
      </c>
      <c r="L43" s="3"/>
      <c r="M43" s="3"/>
      <c r="N43" s="2" t="s">
        <v>544</v>
      </c>
      <c r="O43" s="2" t="s">
        <v>545</v>
      </c>
      <c r="P43" s="2"/>
      <c r="Q43" s="2" t="s">
        <v>546</v>
      </c>
      <c r="R43" s="4" t="s">
        <v>547</v>
      </c>
      <c r="S43" s="2"/>
      <c r="T43" s="2"/>
      <c r="U43" s="2"/>
      <c r="V43" s="2">
        <v>9</v>
      </c>
      <c r="W43" s="2"/>
      <c r="X43" s="5" t="s">
        <v>319</v>
      </c>
      <c r="Y43" s="2" t="s">
        <v>118</v>
      </c>
      <c r="Z43" s="5" t="s">
        <v>548</v>
      </c>
      <c r="AA43" s="2">
        <v>232</v>
      </c>
      <c r="AB43" s="2"/>
      <c r="AC43" s="5" t="s">
        <v>549</v>
      </c>
      <c r="AD43" s="5" t="s">
        <v>550</v>
      </c>
      <c r="AE43" s="3"/>
      <c r="AF43" s="6"/>
      <c r="AG43" s="7"/>
      <c r="AH43" s="2">
        <v>0</v>
      </c>
      <c r="AI43" s="7"/>
      <c r="AJ43" s="3"/>
      <c r="AK43" s="8"/>
      <c r="AL43" s="2" t="str">
        <f t="shared" si="0"/>
        <v>Abrir WhatsApp</v>
      </c>
      <c r="AM43" s="2" t="s">
        <v>238</v>
      </c>
      <c r="AN43" s="2" t="s">
        <v>551</v>
      </c>
      <c r="AO43" s="2" t="s">
        <v>552</v>
      </c>
      <c r="AP43" s="2"/>
    </row>
    <row r="44" spans="1:42" ht="87.5" x14ac:dyDescent="0.35">
      <c r="A44" s="2">
        <v>43</v>
      </c>
      <c r="B44" s="2" t="s">
        <v>42</v>
      </c>
      <c r="C44" s="2">
        <v>5.9</v>
      </c>
      <c r="D44" s="3" t="s">
        <v>43</v>
      </c>
      <c r="E44" s="3" t="s">
        <v>44</v>
      </c>
      <c r="F44" s="3" t="s">
        <v>45</v>
      </c>
      <c r="G44" s="2" t="s">
        <v>107</v>
      </c>
      <c r="H44" s="2" t="s">
        <v>107</v>
      </c>
      <c r="I44" s="2" t="s">
        <v>454</v>
      </c>
      <c r="J44" s="2" t="s">
        <v>553</v>
      </c>
      <c r="K44" s="2" t="s">
        <v>456</v>
      </c>
      <c r="L44" s="3"/>
      <c r="M44" s="3"/>
      <c r="N44" s="2"/>
      <c r="O44" s="2" t="s">
        <v>554</v>
      </c>
      <c r="P44" s="2"/>
      <c r="Q44" s="2"/>
      <c r="R44" s="2"/>
      <c r="S44" s="2"/>
      <c r="T44" s="2"/>
      <c r="U44" s="2">
        <v>5</v>
      </c>
      <c r="V44" s="2">
        <v>1</v>
      </c>
      <c r="W44" s="2"/>
      <c r="X44" s="5"/>
      <c r="Y44" s="2" t="s">
        <v>66</v>
      </c>
      <c r="Z44" s="5" t="s">
        <v>459</v>
      </c>
      <c r="AA44" s="2">
        <v>359</v>
      </c>
      <c r="AB44" s="2"/>
      <c r="AC44" s="5" t="s">
        <v>555</v>
      </c>
      <c r="AD44" s="5" t="s">
        <v>556</v>
      </c>
      <c r="AE44" s="3"/>
      <c r="AF44" s="6"/>
      <c r="AG44" s="7"/>
      <c r="AH44" s="2">
        <v>0</v>
      </c>
      <c r="AI44" s="7"/>
      <c r="AJ44" s="3"/>
      <c r="AK44" s="8"/>
      <c r="AL44" s="2" t="str">
        <f t="shared" si="0"/>
        <v>Abrir WhatsApp</v>
      </c>
      <c r="AM44" s="2" t="s">
        <v>462</v>
      </c>
      <c r="AN44" s="2" t="s">
        <v>557</v>
      </c>
      <c r="AO44" s="2" t="s">
        <v>558</v>
      </c>
      <c r="AP44" s="2"/>
    </row>
    <row r="45" spans="1:42" ht="87.5" x14ac:dyDescent="0.35">
      <c r="A45" s="2">
        <v>44</v>
      </c>
      <c r="B45" s="2" t="s">
        <v>42</v>
      </c>
      <c r="C45" s="2">
        <v>5.9</v>
      </c>
      <c r="D45" s="3" t="s">
        <v>43</v>
      </c>
      <c r="E45" s="3" t="s">
        <v>44</v>
      </c>
      <c r="F45" s="3" t="s">
        <v>45</v>
      </c>
      <c r="G45" s="2" t="s">
        <v>207</v>
      </c>
      <c r="H45" s="2" t="s">
        <v>207</v>
      </c>
      <c r="I45" s="2" t="s">
        <v>559</v>
      </c>
      <c r="J45" s="2" t="s">
        <v>560</v>
      </c>
      <c r="K45" s="2" t="s">
        <v>561</v>
      </c>
      <c r="L45" s="3"/>
      <c r="M45" s="3"/>
      <c r="N45" s="2" t="s">
        <v>562</v>
      </c>
      <c r="O45" s="2" t="s">
        <v>563</v>
      </c>
      <c r="P45" s="2"/>
      <c r="Q45" s="2" t="s">
        <v>564</v>
      </c>
      <c r="R45" s="2" t="s">
        <v>565</v>
      </c>
      <c r="S45" s="4" t="s">
        <v>566</v>
      </c>
      <c r="T45" s="2"/>
      <c r="U45" s="2">
        <v>4</v>
      </c>
      <c r="V45" s="2">
        <v>12</v>
      </c>
      <c r="W45" s="2"/>
      <c r="X45" s="5" t="s">
        <v>213</v>
      </c>
      <c r="Y45" s="2" t="s">
        <v>66</v>
      </c>
      <c r="Z45" s="5" t="s">
        <v>567</v>
      </c>
      <c r="AA45" s="2">
        <v>229</v>
      </c>
      <c r="AB45" s="2"/>
      <c r="AC45" s="5" t="s">
        <v>568</v>
      </c>
      <c r="AD45" s="5" t="s">
        <v>569</v>
      </c>
      <c r="AE45" s="3"/>
      <c r="AF45" s="6"/>
      <c r="AG45" s="7"/>
      <c r="AH45" s="2">
        <v>0</v>
      </c>
      <c r="AI45" s="7"/>
      <c r="AJ45" s="3"/>
      <c r="AK45" s="8"/>
      <c r="AL45" s="2" t="str">
        <f t="shared" si="0"/>
        <v>Abrir WhatsApp</v>
      </c>
      <c r="AM45" s="2" t="s">
        <v>570</v>
      </c>
      <c r="AN45" s="2" t="s">
        <v>571</v>
      </c>
      <c r="AO45" s="2" t="s">
        <v>572</v>
      </c>
      <c r="AP45" s="2"/>
    </row>
    <row r="46" spans="1:42" ht="50" x14ac:dyDescent="0.35">
      <c r="A46" s="2">
        <v>45</v>
      </c>
      <c r="B46" s="2" t="s">
        <v>42</v>
      </c>
      <c r="C46" s="2">
        <v>5.8</v>
      </c>
      <c r="D46" s="3" t="s">
        <v>43</v>
      </c>
      <c r="E46" s="3" t="s">
        <v>44</v>
      </c>
      <c r="F46" s="3" t="s">
        <v>45</v>
      </c>
      <c r="G46" s="2" t="s">
        <v>46</v>
      </c>
      <c r="H46" s="2" t="s">
        <v>284</v>
      </c>
      <c r="I46" s="2" t="s">
        <v>284</v>
      </c>
      <c r="J46" s="2" t="s">
        <v>573</v>
      </c>
      <c r="K46" s="2" t="s">
        <v>146</v>
      </c>
      <c r="L46" s="3"/>
      <c r="M46" s="3"/>
      <c r="N46" s="2" t="s">
        <v>574</v>
      </c>
      <c r="O46" s="2" t="s">
        <v>575</v>
      </c>
      <c r="P46" s="2"/>
      <c r="Q46" s="2" t="s">
        <v>576</v>
      </c>
      <c r="R46" s="4" t="s">
        <v>577</v>
      </c>
      <c r="S46" s="4" t="s">
        <v>578</v>
      </c>
      <c r="T46" s="4" t="s">
        <v>152</v>
      </c>
      <c r="U46" s="2">
        <v>4</v>
      </c>
      <c r="V46" s="2">
        <v>4</v>
      </c>
      <c r="W46" s="2"/>
      <c r="X46" s="5" t="s">
        <v>153</v>
      </c>
      <c r="Y46" s="2" t="s">
        <v>66</v>
      </c>
      <c r="Z46" s="5" t="s">
        <v>579</v>
      </c>
      <c r="AA46" s="2">
        <v>204</v>
      </c>
      <c r="AB46" s="2" t="s">
        <v>181</v>
      </c>
      <c r="AC46" s="5"/>
      <c r="AD46" s="5" t="s">
        <v>580</v>
      </c>
      <c r="AE46" s="3"/>
      <c r="AF46" s="6"/>
      <c r="AG46" s="7"/>
      <c r="AH46" s="2">
        <v>0</v>
      </c>
      <c r="AI46" s="7"/>
      <c r="AJ46" s="3"/>
      <c r="AK46" s="8"/>
      <c r="AL46" s="2" t="str">
        <f t="shared" si="0"/>
        <v>Abrir WhatsApp</v>
      </c>
      <c r="AM46" s="2" t="s">
        <v>158</v>
      </c>
      <c r="AN46" s="2" t="s">
        <v>581</v>
      </c>
      <c r="AO46" s="2" t="s">
        <v>582</v>
      </c>
      <c r="AP46" s="2"/>
    </row>
    <row r="47" spans="1:42" ht="37.5" x14ac:dyDescent="0.35">
      <c r="A47" s="2">
        <v>46</v>
      </c>
      <c r="B47" s="2" t="s">
        <v>42</v>
      </c>
      <c r="C47" s="2">
        <v>5.8</v>
      </c>
      <c r="D47" s="3" t="s">
        <v>43</v>
      </c>
      <c r="E47" s="3" t="s">
        <v>44</v>
      </c>
      <c r="F47" s="3" t="s">
        <v>45</v>
      </c>
      <c r="G47" s="2" t="s">
        <v>74</v>
      </c>
      <c r="H47" s="2" t="s">
        <v>361</v>
      </c>
      <c r="I47" s="2" t="s">
        <v>361</v>
      </c>
      <c r="J47" s="2" t="s">
        <v>583</v>
      </c>
      <c r="K47" s="2" t="s">
        <v>272</v>
      </c>
      <c r="L47" s="3"/>
      <c r="M47" s="3"/>
      <c r="N47" s="2" t="s">
        <v>584</v>
      </c>
      <c r="O47" s="2" t="s">
        <v>585</v>
      </c>
      <c r="P47" s="2"/>
      <c r="Q47" s="2" t="s">
        <v>586</v>
      </c>
      <c r="R47" s="4" t="s">
        <v>587</v>
      </c>
      <c r="S47" s="4" t="s">
        <v>386</v>
      </c>
      <c r="T47" s="2"/>
      <c r="U47" s="2">
        <v>4.8</v>
      </c>
      <c r="V47" s="2">
        <v>12</v>
      </c>
      <c r="W47" s="2"/>
      <c r="X47" s="5" t="s">
        <v>278</v>
      </c>
      <c r="Y47" s="2" t="s">
        <v>66</v>
      </c>
      <c r="Z47" s="5" t="s">
        <v>388</v>
      </c>
      <c r="AA47" s="2">
        <v>209</v>
      </c>
      <c r="AB47" s="2"/>
      <c r="AC47" s="5"/>
      <c r="AD47" s="5" t="s">
        <v>588</v>
      </c>
      <c r="AE47" s="3"/>
      <c r="AF47" s="6"/>
      <c r="AG47" s="7"/>
      <c r="AH47" s="2">
        <v>0</v>
      </c>
      <c r="AI47" s="7"/>
      <c r="AJ47" s="3"/>
      <c r="AK47" s="8"/>
      <c r="AL47" s="2" t="str">
        <f t="shared" si="0"/>
        <v>Abrir WhatsApp</v>
      </c>
      <c r="AM47" s="2" t="s">
        <v>281</v>
      </c>
      <c r="AN47" s="2" t="s">
        <v>589</v>
      </c>
      <c r="AO47" s="2" t="s">
        <v>590</v>
      </c>
      <c r="AP47" s="2"/>
    </row>
    <row r="48" spans="1:42" ht="75" x14ac:dyDescent="0.35">
      <c r="A48" s="2">
        <v>47</v>
      </c>
      <c r="B48" s="2" t="s">
        <v>42</v>
      </c>
      <c r="C48" s="2">
        <v>5.8</v>
      </c>
      <c r="D48" s="3" t="s">
        <v>43</v>
      </c>
      <c r="E48" s="3" t="s">
        <v>44</v>
      </c>
      <c r="F48" s="3" t="s">
        <v>45</v>
      </c>
      <c r="G48" s="2" t="s">
        <v>74</v>
      </c>
      <c r="H48" s="2" t="s">
        <v>591</v>
      </c>
      <c r="I48" s="2" t="s">
        <v>592</v>
      </c>
      <c r="J48" s="2" t="s">
        <v>593</v>
      </c>
      <c r="K48" s="2" t="s">
        <v>272</v>
      </c>
      <c r="L48" s="3"/>
      <c r="M48" s="3"/>
      <c r="N48" s="2" t="s">
        <v>594</v>
      </c>
      <c r="O48" s="2" t="s">
        <v>595</v>
      </c>
      <c r="P48" s="2"/>
      <c r="Q48" s="2" t="s">
        <v>596</v>
      </c>
      <c r="R48" s="4" t="s">
        <v>597</v>
      </c>
      <c r="S48" s="4" t="s">
        <v>386</v>
      </c>
      <c r="T48" s="2"/>
      <c r="U48" s="2"/>
      <c r="V48" s="2"/>
      <c r="W48" s="2"/>
      <c r="X48" s="5" t="s">
        <v>278</v>
      </c>
      <c r="Y48" s="2" t="s">
        <v>66</v>
      </c>
      <c r="Z48" s="5" t="s">
        <v>388</v>
      </c>
      <c r="AA48" s="2">
        <v>194</v>
      </c>
      <c r="AB48" s="2"/>
      <c r="AC48" s="5"/>
      <c r="AD48" s="5" t="s">
        <v>598</v>
      </c>
      <c r="AE48" s="3"/>
      <c r="AF48" s="6"/>
      <c r="AG48" s="7"/>
      <c r="AH48" s="2">
        <v>0</v>
      </c>
      <c r="AI48" s="7"/>
      <c r="AJ48" s="3"/>
      <c r="AK48" s="8"/>
      <c r="AL48" s="2" t="str">
        <f t="shared" si="0"/>
        <v>Abrir WhatsApp</v>
      </c>
      <c r="AM48" s="2" t="s">
        <v>281</v>
      </c>
      <c r="AN48" s="2" t="s">
        <v>599</v>
      </c>
      <c r="AO48" s="2" t="s">
        <v>600</v>
      </c>
      <c r="AP48" s="2"/>
    </row>
    <row r="49" spans="1:42" ht="37.5" x14ac:dyDescent="0.35">
      <c r="A49" s="2">
        <v>48</v>
      </c>
      <c r="B49" s="2" t="s">
        <v>42</v>
      </c>
      <c r="C49" s="2">
        <v>5.8</v>
      </c>
      <c r="D49" s="3" t="s">
        <v>43</v>
      </c>
      <c r="E49" s="3" t="s">
        <v>44</v>
      </c>
      <c r="F49" s="3" t="s">
        <v>45</v>
      </c>
      <c r="G49" s="2" t="s">
        <v>74</v>
      </c>
      <c r="H49" s="2" t="s">
        <v>75</v>
      </c>
      <c r="I49" s="2" t="s">
        <v>601</v>
      </c>
      <c r="J49" s="2" t="s">
        <v>602</v>
      </c>
      <c r="K49" s="2" t="s">
        <v>272</v>
      </c>
      <c r="L49" s="3"/>
      <c r="M49" s="3"/>
      <c r="N49" s="2" t="s">
        <v>603</v>
      </c>
      <c r="O49" s="2" t="s">
        <v>604</v>
      </c>
      <c r="P49" s="2"/>
      <c r="Q49" s="2" t="s">
        <v>605</v>
      </c>
      <c r="R49" s="4" t="s">
        <v>606</v>
      </c>
      <c r="S49" s="4" t="s">
        <v>386</v>
      </c>
      <c r="T49" s="2"/>
      <c r="U49" s="2"/>
      <c r="V49" s="2"/>
      <c r="W49" s="2"/>
      <c r="X49" s="5" t="s">
        <v>278</v>
      </c>
      <c r="Y49" s="2" t="s">
        <v>66</v>
      </c>
      <c r="Z49" s="5" t="s">
        <v>388</v>
      </c>
      <c r="AA49" s="2">
        <v>207</v>
      </c>
      <c r="AB49" s="2"/>
      <c r="AC49" s="5"/>
      <c r="AD49" s="5" t="s">
        <v>588</v>
      </c>
      <c r="AE49" s="3"/>
      <c r="AF49" s="6"/>
      <c r="AG49" s="7"/>
      <c r="AH49" s="2">
        <v>0</v>
      </c>
      <c r="AI49" s="7"/>
      <c r="AJ49" s="3"/>
      <c r="AK49" s="8"/>
      <c r="AL49" s="2" t="str">
        <f t="shared" si="0"/>
        <v>Abrir WhatsApp</v>
      </c>
      <c r="AM49" s="2" t="s">
        <v>281</v>
      </c>
      <c r="AN49" s="2" t="s">
        <v>607</v>
      </c>
      <c r="AO49" s="2" t="s">
        <v>608</v>
      </c>
      <c r="AP49" s="2"/>
    </row>
    <row r="50" spans="1:42" ht="37.5" x14ac:dyDescent="0.35">
      <c r="A50" s="2">
        <v>49</v>
      </c>
      <c r="B50" s="2" t="s">
        <v>42</v>
      </c>
      <c r="C50" s="2">
        <v>5.8</v>
      </c>
      <c r="D50" s="3" t="s">
        <v>43</v>
      </c>
      <c r="E50" s="3" t="s">
        <v>44</v>
      </c>
      <c r="F50" s="3" t="s">
        <v>45</v>
      </c>
      <c r="G50" s="2" t="s">
        <v>107</v>
      </c>
      <c r="H50" s="2" t="s">
        <v>609</v>
      </c>
      <c r="I50" s="2" t="s">
        <v>609</v>
      </c>
      <c r="J50" s="2" t="s">
        <v>610</v>
      </c>
      <c r="K50" s="2" t="s">
        <v>611</v>
      </c>
      <c r="L50" s="3"/>
      <c r="M50" s="3"/>
      <c r="N50" s="2" t="s">
        <v>612</v>
      </c>
      <c r="O50" s="2" t="s">
        <v>613</v>
      </c>
      <c r="P50" s="2"/>
      <c r="Q50" s="2" t="s">
        <v>614</v>
      </c>
      <c r="R50" s="4" t="s">
        <v>615</v>
      </c>
      <c r="S50" s="4" t="s">
        <v>616</v>
      </c>
      <c r="T50" s="2"/>
      <c r="U50" s="2"/>
      <c r="V50" s="2"/>
      <c r="W50" s="2"/>
      <c r="X50" s="5" t="s">
        <v>319</v>
      </c>
      <c r="Y50" s="2"/>
      <c r="Z50" s="5"/>
      <c r="AA50" s="2">
        <v>462</v>
      </c>
      <c r="AB50" s="2"/>
      <c r="AC50" s="5"/>
      <c r="AD50" s="5" t="s">
        <v>617</v>
      </c>
      <c r="AE50" s="3"/>
      <c r="AF50" s="6"/>
      <c r="AG50" s="7"/>
      <c r="AH50" s="2">
        <v>0</v>
      </c>
      <c r="AI50" s="7"/>
      <c r="AJ50" s="3"/>
      <c r="AK50" s="8"/>
      <c r="AL50" s="2" t="str">
        <f t="shared" si="0"/>
        <v>Abrir WhatsApp</v>
      </c>
      <c r="AM50" s="2" t="s">
        <v>618</v>
      </c>
      <c r="AN50" s="2" t="s">
        <v>619</v>
      </c>
      <c r="AO50" s="2" t="s">
        <v>620</v>
      </c>
      <c r="AP50" s="2"/>
    </row>
    <row r="51" spans="1:42" ht="62.5" x14ac:dyDescent="0.35">
      <c r="A51" s="2">
        <v>50</v>
      </c>
      <c r="B51" s="2" t="s">
        <v>42</v>
      </c>
      <c r="C51" s="2">
        <v>5.7</v>
      </c>
      <c r="D51" s="3" t="s">
        <v>43</v>
      </c>
      <c r="E51" s="3" t="s">
        <v>44</v>
      </c>
      <c r="F51" s="3" t="s">
        <v>45</v>
      </c>
      <c r="G51" s="2" t="s">
        <v>393</v>
      </c>
      <c r="H51" s="2" t="s">
        <v>621</v>
      </c>
      <c r="I51" s="2" t="s">
        <v>621</v>
      </c>
      <c r="J51" s="2" t="s">
        <v>622</v>
      </c>
      <c r="K51" s="2" t="s">
        <v>623</v>
      </c>
      <c r="L51" s="3"/>
      <c r="M51" s="3"/>
      <c r="N51" s="2" t="s">
        <v>624</v>
      </c>
      <c r="O51" s="2" t="s">
        <v>625</v>
      </c>
      <c r="P51" s="2"/>
      <c r="Q51" s="2"/>
      <c r="R51" s="2"/>
      <c r="S51" s="4" t="s">
        <v>626</v>
      </c>
      <c r="T51" s="2"/>
      <c r="U51" s="2" t="s">
        <v>627</v>
      </c>
      <c r="V51" s="2">
        <v>8</v>
      </c>
      <c r="W51" s="2"/>
      <c r="X51" s="5" t="s">
        <v>628</v>
      </c>
      <c r="Y51" s="2" t="s">
        <v>66</v>
      </c>
      <c r="Z51" s="5" t="s">
        <v>629</v>
      </c>
      <c r="AA51" s="2">
        <v>546</v>
      </c>
      <c r="AB51" s="2"/>
      <c r="AC51" s="5" t="s">
        <v>630</v>
      </c>
      <c r="AD51" s="5" t="s">
        <v>631</v>
      </c>
      <c r="AE51" s="3"/>
      <c r="AF51" s="6"/>
      <c r="AG51" s="7"/>
      <c r="AH51" s="2">
        <v>0</v>
      </c>
      <c r="AI51" s="7"/>
      <c r="AJ51" s="3"/>
      <c r="AK51" s="8"/>
      <c r="AL51" s="2" t="str">
        <f t="shared" si="0"/>
        <v>Abrir WhatsApp</v>
      </c>
      <c r="AM51" s="2"/>
      <c r="AN51" s="2" t="s">
        <v>632</v>
      </c>
      <c r="AO51" s="2" t="s">
        <v>633</v>
      </c>
      <c r="AP51" s="2"/>
    </row>
    <row r="52" spans="1:42" ht="50" x14ac:dyDescent="0.35">
      <c r="A52" s="2">
        <v>51</v>
      </c>
      <c r="B52" s="2" t="s">
        <v>42</v>
      </c>
      <c r="C52" s="2">
        <v>5.6</v>
      </c>
      <c r="D52" s="3" t="s">
        <v>43</v>
      </c>
      <c r="E52" s="3" t="s">
        <v>44</v>
      </c>
      <c r="F52" s="3" t="s">
        <v>45</v>
      </c>
      <c r="G52" s="2" t="s">
        <v>107</v>
      </c>
      <c r="H52" s="2" t="s">
        <v>634</v>
      </c>
      <c r="I52" s="2" t="s">
        <v>634</v>
      </c>
      <c r="J52" s="2" t="s">
        <v>635</v>
      </c>
      <c r="K52" s="2" t="s">
        <v>506</v>
      </c>
      <c r="L52" s="3"/>
      <c r="M52" s="3"/>
      <c r="N52" s="2" t="s">
        <v>636</v>
      </c>
      <c r="O52" s="2"/>
      <c r="P52" s="2"/>
      <c r="Q52" s="2" t="s">
        <v>637</v>
      </c>
      <c r="R52" s="2" t="s">
        <v>638</v>
      </c>
      <c r="S52" s="4" t="s">
        <v>639</v>
      </c>
      <c r="T52" s="2"/>
      <c r="U52" s="2">
        <v>2.2999999999999998</v>
      </c>
      <c r="V52" s="2">
        <v>3</v>
      </c>
      <c r="W52" s="2"/>
      <c r="X52" s="5"/>
      <c r="Y52" s="2"/>
      <c r="Z52" s="5"/>
      <c r="AA52" s="2">
        <v>138</v>
      </c>
      <c r="AB52" s="2"/>
      <c r="AC52" s="5"/>
      <c r="AD52" s="5" t="s">
        <v>640</v>
      </c>
      <c r="AE52" s="3"/>
      <c r="AF52" s="6"/>
      <c r="AG52" s="7"/>
      <c r="AH52" s="2">
        <v>0</v>
      </c>
      <c r="AI52" s="7"/>
      <c r="AJ52" s="3"/>
      <c r="AK52" s="8"/>
      <c r="AL52" s="2" t="str">
        <f t="shared" si="0"/>
        <v/>
      </c>
      <c r="AM52" s="2" t="s">
        <v>511</v>
      </c>
      <c r="AN52" s="2" t="s">
        <v>641</v>
      </c>
      <c r="AO52" s="2" t="s">
        <v>642</v>
      </c>
      <c r="AP52" s="2"/>
    </row>
    <row r="53" spans="1:42" ht="75" x14ac:dyDescent="0.35">
      <c r="A53" s="2">
        <v>52</v>
      </c>
      <c r="B53" s="2" t="s">
        <v>42</v>
      </c>
      <c r="C53" s="2">
        <v>5.6</v>
      </c>
      <c r="D53" s="3" t="s">
        <v>43</v>
      </c>
      <c r="E53" s="3" t="s">
        <v>44</v>
      </c>
      <c r="F53" s="3" t="s">
        <v>45</v>
      </c>
      <c r="G53" s="2" t="s">
        <v>393</v>
      </c>
      <c r="H53" s="2" t="s">
        <v>643</v>
      </c>
      <c r="I53" s="2" t="s">
        <v>643</v>
      </c>
      <c r="J53" s="2" t="s">
        <v>644</v>
      </c>
      <c r="K53" s="2" t="s">
        <v>645</v>
      </c>
      <c r="L53" s="3"/>
      <c r="M53" s="3"/>
      <c r="N53" s="2" t="s">
        <v>646</v>
      </c>
      <c r="O53" s="2" t="s">
        <v>647</v>
      </c>
      <c r="P53" s="2"/>
      <c r="Q53" s="2" t="s">
        <v>648</v>
      </c>
      <c r="R53" s="4" t="s">
        <v>649</v>
      </c>
      <c r="S53" s="4" t="s">
        <v>650</v>
      </c>
      <c r="T53" s="4" t="s">
        <v>651</v>
      </c>
      <c r="U53" s="2">
        <v>4</v>
      </c>
      <c r="V53" s="2">
        <v>15</v>
      </c>
      <c r="W53" s="2"/>
      <c r="X53" s="5" t="s">
        <v>652</v>
      </c>
      <c r="Y53" s="2" t="s">
        <v>66</v>
      </c>
      <c r="Z53" s="5" t="s">
        <v>653</v>
      </c>
      <c r="AA53" s="2">
        <v>267</v>
      </c>
      <c r="AB53" s="2" t="s">
        <v>654</v>
      </c>
      <c r="AC53" s="5" t="s">
        <v>655</v>
      </c>
      <c r="AD53" s="5" t="s">
        <v>656</v>
      </c>
      <c r="AE53" s="3"/>
      <c r="AF53" s="6"/>
      <c r="AG53" s="7"/>
      <c r="AH53" s="2">
        <v>0</v>
      </c>
      <c r="AI53" s="7"/>
      <c r="AJ53" s="3"/>
      <c r="AK53" s="8"/>
      <c r="AL53" s="2" t="str">
        <f t="shared" si="0"/>
        <v>Abrir WhatsApp</v>
      </c>
      <c r="AM53" s="2" t="s">
        <v>657</v>
      </c>
      <c r="AN53" s="2" t="s">
        <v>658</v>
      </c>
      <c r="AO53" s="2" t="s">
        <v>659</v>
      </c>
      <c r="AP53" s="2"/>
    </row>
    <row r="54" spans="1:42" ht="37.5" x14ac:dyDescent="0.35">
      <c r="A54" s="2">
        <v>53</v>
      </c>
      <c r="B54" s="2" t="s">
        <v>42</v>
      </c>
      <c r="C54" s="2">
        <v>5.5</v>
      </c>
      <c r="D54" s="3" t="s">
        <v>43</v>
      </c>
      <c r="E54" s="3" t="s">
        <v>44</v>
      </c>
      <c r="F54" s="3" t="s">
        <v>45</v>
      </c>
      <c r="G54" s="2" t="s">
        <v>74</v>
      </c>
      <c r="H54" s="2" t="s">
        <v>379</v>
      </c>
      <c r="I54" s="2" t="s">
        <v>660</v>
      </c>
      <c r="J54" s="2" t="s">
        <v>661</v>
      </c>
      <c r="K54" s="2" t="s">
        <v>272</v>
      </c>
      <c r="L54" s="3"/>
      <c r="M54" s="3"/>
      <c r="N54" s="2" t="s">
        <v>662</v>
      </c>
      <c r="O54" s="2" t="s">
        <v>663</v>
      </c>
      <c r="P54" s="2"/>
      <c r="Q54" s="2" t="s">
        <v>664</v>
      </c>
      <c r="R54" s="4" t="s">
        <v>665</v>
      </c>
      <c r="S54" s="4" t="s">
        <v>386</v>
      </c>
      <c r="T54" s="2"/>
      <c r="U54" s="2">
        <v>4.7</v>
      </c>
      <c r="V54" s="2">
        <v>3</v>
      </c>
      <c r="W54" s="2"/>
      <c r="X54" s="5" t="s">
        <v>278</v>
      </c>
      <c r="Y54" s="2" t="s">
        <v>66</v>
      </c>
      <c r="Z54" s="5" t="s">
        <v>666</v>
      </c>
      <c r="AA54" s="2">
        <v>131</v>
      </c>
      <c r="AB54" s="2"/>
      <c r="AC54" s="5"/>
      <c r="AD54" s="5" t="s">
        <v>667</v>
      </c>
      <c r="AE54" s="3"/>
      <c r="AF54" s="6"/>
      <c r="AG54" s="7"/>
      <c r="AH54" s="2">
        <v>0</v>
      </c>
      <c r="AI54" s="7"/>
      <c r="AJ54" s="3"/>
      <c r="AK54" s="8"/>
      <c r="AL54" s="2" t="str">
        <f t="shared" si="0"/>
        <v>Abrir WhatsApp</v>
      </c>
      <c r="AM54" s="2" t="s">
        <v>281</v>
      </c>
      <c r="AN54" s="2" t="s">
        <v>668</v>
      </c>
      <c r="AO54" s="2" t="s">
        <v>669</v>
      </c>
      <c r="AP54" s="2"/>
    </row>
    <row r="55" spans="1:42" ht="37.5" x14ac:dyDescent="0.35">
      <c r="A55" s="2">
        <v>54</v>
      </c>
      <c r="B55" s="2" t="s">
        <v>42</v>
      </c>
      <c r="C55" s="2">
        <v>5.5</v>
      </c>
      <c r="D55" s="3" t="s">
        <v>43</v>
      </c>
      <c r="E55" s="3" t="s">
        <v>44</v>
      </c>
      <c r="F55" s="3" t="s">
        <v>45</v>
      </c>
      <c r="G55" s="2" t="s">
        <v>107</v>
      </c>
      <c r="H55" s="2" t="s">
        <v>107</v>
      </c>
      <c r="I55" s="2" t="s">
        <v>670</v>
      </c>
      <c r="J55" s="2" t="s">
        <v>671</v>
      </c>
      <c r="K55" s="2" t="s">
        <v>110</v>
      </c>
      <c r="L55" s="3"/>
      <c r="M55" s="3"/>
      <c r="N55" s="2" t="s">
        <v>672</v>
      </c>
      <c r="O55" s="2" t="s">
        <v>673</v>
      </c>
      <c r="P55" s="2"/>
      <c r="Q55" s="2" t="s">
        <v>113</v>
      </c>
      <c r="R55" s="4" t="s">
        <v>674</v>
      </c>
      <c r="S55" s="4" t="s">
        <v>115</v>
      </c>
      <c r="T55" s="2"/>
      <c r="U55" s="2">
        <v>3</v>
      </c>
      <c r="V55" s="2">
        <v>2</v>
      </c>
      <c r="W55" s="2" t="s">
        <v>116</v>
      </c>
      <c r="X55" s="5" t="s">
        <v>675</v>
      </c>
      <c r="Y55" s="2" t="s">
        <v>66</v>
      </c>
      <c r="Z55" s="5" t="s">
        <v>310</v>
      </c>
      <c r="AA55" s="2">
        <v>134</v>
      </c>
      <c r="AB55" s="2" t="s">
        <v>120</v>
      </c>
      <c r="AC55" s="5"/>
      <c r="AD55" s="5" t="s">
        <v>676</v>
      </c>
      <c r="AE55" s="3"/>
      <c r="AF55" s="6"/>
      <c r="AG55" s="7"/>
      <c r="AH55" s="2">
        <v>0</v>
      </c>
      <c r="AI55" s="7"/>
      <c r="AJ55" s="3"/>
      <c r="AK55" s="8"/>
      <c r="AL55" s="2" t="str">
        <f t="shared" si="0"/>
        <v>Abrir WhatsApp</v>
      </c>
      <c r="AM55" s="2" t="s">
        <v>123</v>
      </c>
      <c r="AN55" s="2" t="s">
        <v>677</v>
      </c>
      <c r="AO55" s="2" t="s">
        <v>678</v>
      </c>
      <c r="AP55" s="2"/>
    </row>
    <row r="56" spans="1:42" ht="112.5" x14ac:dyDescent="0.35">
      <c r="A56" s="2">
        <v>55</v>
      </c>
      <c r="B56" s="2" t="s">
        <v>42</v>
      </c>
      <c r="C56" s="2">
        <v>5.4</v>
      </c>
      <c r="D56" s="3" t="s">
        <v>43</v>
      </c>
      <c r="E56" s="3" t="s">
        <v>44</v>
      </c>
      <c r="F56" s="3" t="s">
        <v>679</v>
      </c>
      <c r="G56" s="2" t="s">
        <v>46</v>
      </c>
      <c r="H56" s="2" t="s">
        <v>46</v>
      </c>
      <c r="I56" s="2" t="s">
        <v>46</v>
      </c>
      <c r="J56" s="2" t="s">
        <v>680</v>
      </c>
      <c r="K56" s="2"/>
      <c r="L56" s="3"/>
      <c r="M56" s="3"/>
      <c r="N56" s="2" t="s">
        <v>681</v>
      </c>
      <c r="O56" s="2"/>
      <c r="P56" s="2"/>
      <c r="Q56" s="2"/>
      <c r="R56" s="2"/>
      <c r="S56" s="4" t="s">
        <v>682</v>
      </c>
      <c r="T56" s="2"/>
      <c r="U56" s="2">
        <v>4</v>
      </c>
      <c r="V56" s="2">
        <v>21</v>
      </c>
      <c r="W56" s="2"/>
      <c r="X56" s="5" t="s">
        <v>319</v>
      </c>
      <c r="Y56" s="2" t="s">
        <v>66</v>
      </c>
      <c r="Z56" s="5" t="s">
        <v>683</v>
      </c>
      <c r="AA56" s="2">
        <v>474</v>
      </c>
      <c r="AB56" s="2"/>
      <c r="AC56" s="5" t="s">
        <v>684</v>
      </c>
      <c r="AD56" s="5" t="s">
        <v>685</v>
      </c>
      <c r="AE56" s="3"/>
      <c r="AF56" s="6"/>
      <c r="AG56" s="7"/>
      <c r="AH56" s="2">
        <v>0</v>
      </c>
      <c r="AI56" s="7"/>
      <c r="AJ56" s="3"/>
      <c r="AK56" s="8"/>
      <c r="AL56" s="2" t="str">
        <f t="shared" si="0"/>
        <v/>
      </c>
      <c r="AM56" s="2"/>
      <c r="AN56" s="2" t="s">
        <v>686</v>
      </c>
      <c r="AO56" s="2" t="s">
        <v>687</v>
      </c>
      <c r="AP56" s="2"/>
    </row>
    <row r="57" spans="1:42" ht="37.5" x14ac:dyDescent="0.35">
      <c r="A57" s="2">
        <v>56</v>
      </c>
      <c r="B57" s="2" t="s">
        <v>42</v>
      </c>
      <c r="C57" s="2">
        <v>5.4</v>
      </c>
      <c r="D57" s="3" t="s">
        <v>43</v>
      </c>
      <c r="E57" s="3" t="s">
        <v>44</v>
      </c>
      <c r="F57" s="3" t="s">
        <v>45</v>
      </c>
      <c r="G57" s="2" t="s">
        <v>46</v>
      </c>
      <c r="H57" s="2" t="s">
        <v>47</v>
      </c>
      <c r="I57" s="2" t="s">
        <v>47</v>
      </c>
      <c r="J57" s="2" t="s">
        <v>688</v>
      </c>
      <c r="K57" s="2" t="s">
        <v>334</v>
      </c>
      <c r="L57" s="3"/>
      <c r="M57" s="3"/>
      <c r="N57" s="2" t="s">
        <v>689</v>
      </c>
      <c r="O57" s="2"/>
      <c r="P57" s="2" t="s">
        <v>690</v>
      </c>
      <c r="Q57" s="2" t="s">
        <v>691</v>
      </c>
      <c r="R57" s="4" t="s">
        <v>692</v>
      </c>
      <c r="S57" s="4" t="s">
        <v>693</v>
      </c>
      <c r="T57" s="4" t="s">
        <v>694</v>
      </c>
      <c r="U57" s="2"/>
      <c r="V57" s="2"/>
      <c r="W57" s="2"/>
      <c r="X57" s="5" t="s">
        <v>695</v>
      </c>
      <c r="Y57" s="2" t="s">
        <v>66</v>
      </c>
      <c r="Z57" s="5" t="s">
        <v>696</v>
      </c>
      <c r="AA57" s="2">
        <v>89</v>
      </c>
      <c r="AB57" s="2" t="s">
        <v>697</v>
      </c>
      <c r="AC57" s="5"/>
      <c r="AD57" s="5" t="s">
        <v>698</v>
      </c>
      <c r="AE57" s="3"/>
      <c r="AF57" s="6"/>
      <c r="AG57" s="7"/>
      <c r="AH57" s="2">
        <v>0</v>
      </c>
      <c r="AI57" s="7"/>
      <c r="AJ57" s="3"/>
      <c r="AK57" s="8"/>
      <c r="AL57" s="2" t="str">
        <f t="shared" si="0"/>
        <v/>
      </c>
      <c r="AM57" s="2" t="s">
        <v>699</v>
      </c>
      <c r="AN57" s="2" t="s">
        <v>700</v>
      </c>
      <c r="AO57" s="2" t="s">
        <v>701</v>
      </c>
      <c r="AP57" s="2"/>
    </row>
    <row r="58" spans="1:42" ht="87.5" x14ac:dyDescent="0.35">
      <c r="A58" s="2">
        <v>57</v>
      </c>
      <c r="B58" s="2" t="s">
        <v>42</v>
      </c>
      <c r="C58" s="2">
        <v>5.4</v>
      </c>
      <c r="D58" s="3" t="s">
        <v>43</v>
      </c>
      <c r="E58" s="3" t="s">
        <v>44</v>
      </c>
      <c r="F58" s="3" t="s">
        <v>679</v>
      </c>
      <c r="G58" s="2" t="s">
        <v>126</v>
      </c>
      <c r="H58" s="2" t="s">
        <v>702</v>
      </c>
      <c r="I58" s="2" t="s">
        <v>702</v>
      </c>
      <c r="J58" s="2" t="s">
        <v>703</v>
      </c>
      <c r="K58" s="2"/>
      <c r="L58" s="3"/>
      <c r="M58" s="3"/>
      <c r="N58" s="2" t="s">
        <v>704</v>
      </c>
      <c r="O58" s="2" t="s">
        <v>705</v>
      </c>
      <c r="P58" s="2"/>
      <c r="Q58" s="2" t="s">
        <v>706</v>
      </c>
      <c r="R58" s="2"/>
      <c r="S58" s="2"/>
      <c r="T58" s="2"/>
      <c r="U58" s="2">
        <v>4.2</v>
      </c>
      <c r="V58" s="2">
        <v>14</v>
      </c>
      <c r="W58" s="2"/>
      <c r="X58" s="5" t="s">
        <v>224</v>
      </c>
      <c r="Y58" s="2" t="s">
        <v>66</v>
      </c>
      <c r="Z58" s="5" t="s">
        <v>707</v>
      </c>
      <c r="AA58" s="2">
        <v>606</v>
      </c>
      <c r="AB58" s="2"/>
      <c r="AC58" s="5" t="s">
        <v>708</v>
      </c>
      <c r="AD58" s="5" t="s">
        <v>709</v>
      </c>
      <c r="AE58" s="3"/>
      <c r="AF58" s="6"/>
      <c r="AG58" s="7"/>
      <c r="AH58" s="2">
        <v>0</v>
      </c>
      <c r="AI58" s="7"/>
      <c r="AJ58" s="3"/>
      <c r="AK58" s="8"/>
      <c r="AL58" s="2" t="str">
        <f t="shared" si="0"/>
        <v>Abrir WhatsApp</v>
      </c>
      <c r="AM58" s="2"/>
      <c r="AN58" s="2" t="s">
        <v>710</v>
      </c>
      <c r="AO58" s="2" t="s">
        <v>711</v>
      </c>
      <c r="AP58" s="2"/>
    </row>
    <row r="59" spans="1:42" ht="50" x14ac:dyDescent="0.35">
      <c r="A59" s="2">
        <v>58</v>
      </c>
      <c r="B59" s="2" t="s">
        <v>42</v>
      </c>
      <c r="C59" s="2">
        <v>5.4</v>
      </c>
      <c r="D59" s="3" t="s">
        <v>43</v>
      </c>
      <c r="E59" s="3" t="s">
        <v>44</v>
      </c>
      <c r="F59" s="3" t="s">
        <v>679</v>
      </c>
      <c r="G59" s="2" t="s">
        <v>74</v>
      </c>
      <c r="H59" s="2" t="s">
        <v>591</v>
      </c>
      <c r="I59" s="2" t="s">
        <v>712</v>
      </c>
      <c r="J59" s="2" t="s">
        <v>713</v>
      </c>
      <c r="K59" s="2"/>
      <c r="L59" s="3"/>
      <c r="M59" s="3"/>
      <c r="N59" s="2" t="s">
        <v>714</v>
      </c>
      <c r="O59" s="2"/>
      <c r="P59" s="2"/>
      <c r="Q59" s="2"/>
      <c r="R59" s="4" t="s">
        <v>715</v>
      </c>
      <c r="S59" s="2"/>
      <c r="T59" s="2"/>
      <c r="U59" s="2">
        <v>2.5</v>
      </c>
      <c r="V59" s="2">
        <v>2</v>
      </c>
      <c r="W59" s="2"/>
      <c r="X59" s="5" t="s">
        <v>716</v>
      </c>
      <c r="Y59" s="2" t="s">
        <v>66</v>
      </c>
      <c r="Z59" s="5" t="s">
        <v>717</v>
      </c>
      <c r="AA59" s="2">
        <v>224</v>
      </c>
      <c r="AB59" s="2"/>
      <c r="AC59" s="5" t="s">
        <v>718</v>
      </c>
      <c r="AD59" s="5" t="s">
        <v>719</v>
      </c>
      <c r="AE59" s="3"/>
      <c r="AF59" s="6"/>
      <c r="AG59" s="7"/>
      <c r="AH59" s="2">
        <v>0</v>
      </c>
      <c r="AI59" s="7"/>
      <c r="AJ59" s="3"/>
      <c r="AK59" s="8"/>
      <c r="AL59" s="2" t="str">
        <f t="shared" si="0"/>
        <v/>
      </c>
      <c r="AM59" s="2" t="s">
        <v>720</v>
      </c>
      <c r="AN59" s="2" t="s">
        <v>721</v>
      </c>
      <c r="AO59" s="2" t="s">
        <v>722</v>
      </c>
      <c r="AP59" s="2"/>
    </row>
    <row r="60" spans="1:42" ht="75" x14ac:dyDescent="0.35">
      <c r="A60" s="2">
        <v>59</v>
      </c>
      <c r="B60" s="2" t="s">
        <v>42</v>
      </c>
      <c r="C60" s="2">
        <v>5.4</v>
      </c>
      <c r="D60" s="3" t="s">
        <v>43</v>
      </c>
      <c r="E60" s="3" t="s">
        <v>44</v>
      </c>
      <c r="F60" s="3" t="s">
        <v>45</v>
      </c>
      <c r="G60" s="2" t="s">
        <v>207</v>
      </c>
      <c r="H60" s="2" t="s">
        <v>723</v>
      </c>
      <c r="I60" s="2" t="s">
        <v>724</v>
      </c>
      <c r="J60" s="2" t="s">
        <v>725</v>
      </c>
      <c r="K60" s="2" t="s">
        <v>726</v>
      </c>
      <c r="L60" s="3"/>
      <c r="M60" s="3"/>
      <c r="N60" s="2" t="s">
        <v>727</v>
      </c>
      <c r="O60" s="2" t="s">
        <v>728</v>
      </c>
      <c r="P60" s="2"/>
      <c r="Q60" s="2" t="s">
        <v>729</v>
      </c>
      <c r="R60" s="4" t="s">
        <v>730</v>
      </c>
      <c r="S60" s="4" t="s">
        <v>731</v>
      </c>
      <c r="T60" s="4" t="s">
        <v>732</v>
      </c>
      <c r="U60" s="2">
        <v>3.8</v>
      </c>
      <c r="V60" s="2">
        <v>5</v>
      </c>
      <c r="W60" s="2"/>
      <c r="X60" s="5" t="s">
        <v>733</v>
      </c>
      <c r="Y60" s="2" t="s">
        <v>118</v>
      </c>
      <c r="Z60" s="5" t="s">
        <v>734</v>
      </c>
      <c r="AA60" s="2">
        <v>109</v>
      </c>
      <c r="AB60" s="2"/>
      <c r="AC60" s="5" t="s">
        <v>735</v>
      </c>
      <c r="AD60" s="5" t="s">
        <v>736</v>
      </c>
      <c r="AE60" s="3"/>
      <c r="AF60" s="6"/>
      <c r="AG60" s="7"/>
      <c r="AH60" s="2">
        <v>0</v>
      </c>
      <c r="AI60" s="7"/>
      <c r="AJ60" s="3"/>
      <c r="AK60" s="8"/>
      <c r="AL60" s="2" t="str">
        <f t="shared" si="0"/>
        <v>Abrir WhatsApp</v>
      </c>
      <c r="AM60" s="2" t="s">
        <v>737</v>
      </c>
      <c r="AN60" s="2" t="s">
        <v>738</v>
      </c>
      <c r="AO60" s="2" t="s">
        <v>739</v>
      </c>
      <c r="AP60" s="2"/>
    </row>
    <row r="61" spans="1:42" ht="62.5" x14ac:dyDescent="0.35">
      <c r="A61" s="2">
        <v>60</v>
      </c>
      <c r="B61" s="2" t="s">
        <v>42</v>
      </c>
      <c r="C61" s="2">
        <v>5.4</v>
      </c>
      <c r="D61" s="3" t="s">
        <v>43</v>
      </c>
      <c r="E61" s="3" t="s">
        <v>44</v>
      </c>
      <c r="F61" s="3" t="s">
        <v>45</v>
      </c>
      <c r="G61" s="2" t="s">
        <v>393</v>
      </c>
      <c r="H61" s="2" t="s">
        <v>740</v>
      </c>
      <c r="I61" s="2" t="s">
        <v>740</v>
      </c>
      <c r="J61" s="2" t="s">
        <v>741</v>
      </c>
      <c r="K61" s="2" t="s">
        <v>742</v>
      </c>
      <c r="L61" s="3"/>
      <c r="M61" s="3"/>
      <c r="N61" s="2" t="s">
        <v>743</v>
      </c>
      <c r="O61" s="2" t="s">
        <v>744</v>
      </c>
      <c r="P61" s="2"/>
      <c r="Q61" s="2"/>
      <c r="R61" s="2"/>
      <c r="S61" s="4" t="s">
        <v>745</v>
      </c>
      <c r="T61" s="4" t="s">
        <v>746</v>
      </c>
      <c r="U61" s="2"/>
      <c r="V61" s="2"/>
      <c r="W61" s="2"/>
      <c r="X61" s="5" t="s">
        <v>747</v>
      </c>
      <c r="Y61" s="2"/>
      <c r="Z61" s="5"/>
      <c r="AA61" s="2">
        <v>589</v>
      </c>
      <c r="AB61" s="2"/>
      <c r="AC61" s="5"/>
      <c r="AD61" s="5" t="s">
        <v>748</v>
      </c>
      <c r="AE61" s="3"/>
      <c r="AF61" s="6"/>
      <c r="AG61" s="7"/>
      <c r="AH61" s="2">
        <v>0</v>
      </c>
      <c r="AI61" s="7"/>
      <c r="AJ61" s="3"/>
      <c r="AK61" s="8"/>
      <c r="AL61" s="2" t="str">
        <f t="shared" si="0"/>
        <v>Abrir WhatsApp</v>
      </c>
      <c r="AM61" s="2" t="s">
        <v>749</v>
      </c>
      <c r="AN61" s="2" t="s">
        <v>750</v>
      </c>
      <c r="AO61" s="2" t="s">
        <v>751</v>
      </c>
      <c r="AP61" s="2"/>
    </row>
    <row r="62" spans="1:42" ht="62.5" x14ac:dyDescent="0.35">
      <c r="A62" s="2">
        <v>61</v>
      </c>
      <c r="B62" s="2" t="s">
        <v>42</v>
      </c>
      <c r="C62" s="2">
        <v>5.2</v>
      </c>
      <c r="D62" s="3" t="s">
        <v>43</v>
      </c>
      <c r="E62" s="3" t="s">
        <v>44</v>
      </c>
      <c r="F62" s="3" t="s">
        <v>45</v>
      </c>
      <c r="G62" s="2" t="s">
        <v>46</v>
      </c>
      <c r="H62" s="2" t="s">
        <v>752</v>
      </c>
      <c r="I62" s="2" t="s">
        <v>752</v>
      </c>
      <c r="J62" s="2" t="s">
        <v>753</v>
      </c>
      <c r="K62" s="2" t="s">
        <v>754</v>
      </c>
      <c r="L62" s="3"/>
      <c r="M62" s="3"/>
      <c r="N62" s="2"/>
      <c r="O62" s="2" t="s">
        <v>755</v>
      </c>
      <c r="P62" s="2"/>
      <c r="Q62" s="2" t="s">
        <v>756</v>
      </c>
      <c r="R62" s="4" t="s">
        <v>757</v>
      </c>
      <c r="S62" s="2"/>
      <c r="T62" s="2"/>
      <c r="U62" s="2"/>
      <c r="V62" s="2"/>
      <c r="W62" s="2"/>
      <c r="X62" s="5" t="s">
        <v>758</v>
      </c>
      <c r="Y62" s="2" t="s">
        <v>66</v>
      </c>
      <c r="Z62" s="5" t="s">
        <v>759</v>
      </c>
      <c r="AA62" s="2">
        <v>45</v>
      </c>
      <c r="AB62" s="2"/>
      <c r="AC62" s="5"/>
      <c r="AD62" s="5" t="s">
        <v>760</v>
      </c>
      <c r="AE62" s="3"/>
      <c r="AF62" s="6"/>
      <c r="AG62" s="7"/>
      <c r="AH62" s="2">
        <v>0</v>
      </c>
      <c r="AI62" s="7"/>
      <c r="AJ62" s="3"/>
      <c r="AK62" s="8"/>
      <c r="AL62" s="2" t="str">
        <f t="shared" si="0"/>
        <v>Abrir WhatsApp</v>
      </c>
      <c r="AM62" s="2" t="s">
        <v>761</v>
      </c>
      <c r="AN62" s="2" t="s">
        <v>762</v>
      </c>
      <c r="AO62" s="2" t="s">
        <v>763</v>
      </c>
      <c r="AP62" s="2"/>
    </row>
    <row r="63" spans="1:42" ht="112.5" x14ac:dyDescent="0.35">
      <c r="A63" s="2">
        <v>62</v>
      </c>
      <c r="B63" s="2" t="s">
        <v>42</v>
      </c>
      <c r="C63" s="2">
        <v>5.2</v>
      </c>
      <c r="D63" s="3" t="s">
        <v>43</v>
      </c>
      <c r="E63" s="3" t="s">
        <v>44</v>
      </c>
      <c r="F63" s="3" t="s">
        <v>679</v>
      </c>
      <c r="G63" s="2" t="s">
        <v>74</v>
      </c>
      <c r="H63" s="2" t="s">
        <v>591</v>
      </c>
      <c r="I63" s="2" t="s">
        <v>591</v>
      </c>
      <c r="J63" s="2" t="s">
        <v>764</v>
      </c>
      <c r="K63" s="2"/>
      <c r="L63" s="3"/>
      <c r="M63" s="3"/>
      <c r="N63" s="2" t="s">
        <v>765</v>
      </c>
      <c r="O63" s="2" t="s">
        <v>766</v>
      </c>
      <c r="P63" s="2"/>
      <c r="Q63" s="2"/>
      <c r="R63" s="2"/>
      <c r="S63" s="2"/>
      <c r="T63" s="2"/>
      <c r="U63" s="2">
        <v>2.7</v>
      </c>
      <c r="V63" s="2">
        <v>45</v>
      </c>
      <c r="W63" s="2"/>
      <c r="X63" s="5" t="s">
        <v>767</v>
      </c>
      <c r="Y63" s="2" t="s">
        <v>66</v>
      </c>
      <c r="Z63" s="5" t="s">
        <v>768</v>
      </c>
      <c r="AA63" s="2">
        <v>187</v>
      </c>
      <c r="AB63" s="2"/>
      <c r="AC63" s="5" t="s">
        <v>769</v>
      </c>
      <c r="AD63" s="5" t="s">
        <v>770</v>
      </c>
      <c r="AE63" s="3"/>
      <c r="AF63" s="6"/>
      <c r="AG63" s="7"/>
      <c r="AH63" s="2">
        <v>0</v>
      </c>
      <c r="AI63" s="7"/>
      <c r="AJ63" s="3"/>
      <c r="AK63" s="8"/>
      <c r="AL63" s="2" t="str">
        <f t="shared" si="0"/>
        <v>Abrir WhatsApp</v>
      </c>
      <c r="AM63" s="2"/>
      <c r="AN63" s="2" t="s">
        <v>771</v>
      </c>
      <c r="AO63" s="2" t="s">
        <v>772</v>
      </c>
      <c r="AP63" s="2"/>
    </row>
    <row r="64" spans="1:42" ht="62.5" x14ac:dyDescent="0.35">
      <c r="A64" s="2">
        <v>63</v>
      </c>
      <c r="B64" s="2" t="s">
        <v>42</v>
      </c>
      <c r="C64" s="2">
        <v>5.0999999999999996</v>
      </c>
      <c r="D64" s="3" t="s">
        <v>43</v>
      </c>
      <c r="E64" s="3" t="s">
        <v>44</v>
      </c>
      <c r="F64" s="3" t="s">
        <v>45</v>
      </c>
      <c r="G64" s="2" t="s">
        <v>46</v>
      </c>
      <c r="H64" s="2" t="s">
        <v>773</v>
      </c>
      <c r="I64" s="2" t="s">
        <v>774</v>
      </c>
      <c r="J64" s="2" t="s">
        <v>775</v>
      </c>
      <c r="K64" s="2" t="s">
        <v>754</v>
      </c>
      <c r="L64" s="3"/>
      <c r="M64" s="3"/>
      <c r="N64" s="2"/>
      <c r="O64" s="2" t="s">
        <v>755</v>
      </c>
      <c r="P64" s="2"/>
      <c r="Q64" s="2" t="s">
        <v>776</v>
      </c>
      <c r="R64" s="4" t="s">
        <v>757</v>
      </c>
      <c r="S64" s="2"/>
      <c r="T64" s="2"/>
      <c r="U64" s="2">
        <v>5</v>
      </c>
      <c r="V64" s="2">
        <v>1</v>
      </c>
      <c r="W64" s="2"/>
      <c r="X64" s="5" t="s">
        <v>758</v>
      </c>
      <c r="Y64" s="2" t="s">
        <v>66</v>
      </c>
      <c r="Z64" s="5" t="s">
        <v>759</v>
      </c>
      <c r="AA64" s="2">
        <v>16</v>
      </c>
      <c r="AB64" s="2"/>
      <c r="AC64" s="5"/>
      <c r="AD64" s="5" t="s">
        <v>760</v>
      </c>
      <c r="AE64" s="3"/>
      <c r="AF64" s="6"/>
      <c r="AG64" s="7"/>
      <c r="AH64" s="2">
        <v>0</v>
      </c>
      <c r="AI64" s="7"/>
      <c r="AJ64" s="3"/>
      <c r="AK64" s="8"/>
      <c r="AL64" s="2" t="str">
        <f t="shared" si="0"/>
        <v>Abrir WhatsApp</v>
      </c>
      <c r="AM64" s="2" t="s">
        <v>761</v>
      </c>
      <c r="AN64" s="2" t="s">
        <v>777</v>
      </c>
      <c r="AO64" s="2" t="s">
        <v>778</v>
      </c>
      <c r="AP64" s="2"/>
    </row>
    <row r="65" spans="1:42" ht="62.5" x14ac:dyDescent="0.35">
      <c r="A65" s="2">
        <v>64</v>
      </c>
      <c r="B65" s="2" t="s">
        <v>42</v>
      </c>
      <c r="C65" s="2">
        <v>5.0999999999999996</v>
      </c>
      <c r="D65" s="3" t="s">
        <v>43</v>
      </c>
      <c r="E65" s="3" t="s">
        <v>44</v>
      </c>
      <c r="F65" s="3" t="s">
        <v>45</v>
      </c>
      <c r="G65" s="2" t="s">
        <v>46</v>
      </c>
      <c r="H65" s="2" t="s">
        <v>186</v>
      </c>
      <c r="I65" s="2" t="s">
        <v>186</v>
      </c>
      <c r="J65" s="2" t="s">
        <v>779</v>
      </c>
      <c r="K65" s="2" t="s">
        <v>754</v>
      </c>
      <c r="L65" s="3"/>
      <c r="M65" s="3"/>
      <c r="N65" s="2"/>
      <c r="O65" s="2" t="s">
        <v>755</v>
      </c>
      <c r="P65" s="2"/>
      <c r="Q65" s="2" t="s">
        <v>780</v>
      </c>
      <c r="R65" s="4" t="s">
        <v>757</v>
      </c>
      <c r="S65" s="2"/>
      <c r="T65" s="2"/>
      <c r="U65" s="2"/>
      <c r="V65" s="2"/>
      <c r="W65" s="2"/>
      <c r="X65" s="5" t="s">
        <v>758</v>
      </c>
      <c r="Y65" s="2" t="s">
        <v>66</v>
      </c>
      <c r="Z65" s="5" t="s">
        <v>759</v>
      </c>
      <c r="AA65" s="2">
        <v>17</v>
      </c>
      <c r="AB65" s="2"/>
      <c r="AC65" s="5"/>
      <c r="AD65" s="5" t="s">
        <v>760</v>
      </c>
      <c r="AE65" s="3"/>
      <c r="AF65" s="6"/>
      <c r="AG65" s="7"/>
      <c r="AH65" s="2">
        <v>0</v>
      </c>
      <c r="AI65" s="7"/>
      <c r="AJ65" s="3"/>
      <c r="AK65" s="8"/>
      <c r="AL65" s="2" t="str">
        <f t="shared" si="0"/>
        <v>Abrir WhatsApp</v>
      </c>
      <c r="AM65" s="2" t="s">
        <v>761</v>
      </c>
      <c r="AN65" s="2" t="s">
        <v>781</v>
      </c>
      <c r="AO65" s="2" t="s">
        <v>782</v>
      </c>
      <c r="AP65" s="2"/>
    </row>
    <row r="66" spans="1:42" ht="50" x14ac:dyDescent="0.35">
      <c r="A66" s="2">
        <v>65</v>
      </c>
      <c r="B66" s="2" t="s">
        <v>42</v>
      </c>
      <c r="C66" s="2">
        <v>5.0999999999999996</v>
      </c>
      <c r="D66" s="3" t="s">
        <v>43</v>
      </c>
      <c r="E66" s="3" t="s">
        <v>44</v>
      </c>
      <c r="F66" s="3" t="s">
        <v>679</v>
      </c>
      <c r="G66" s="2" t="s">
        <v>46</v>
      </c>
      <c r="H66" s="2" t="s">
        <v>783</v>
      </c>
      <c r="I66" s="2" t="s">
        <v>783</v>
      </c>
      <c r="J66" s="2" t="s">
        <v>784</v>
      </c>
      <c r="K66" s="2"/>
      <c r="L66" s="3"/>
      <c r="M66" s="3"/>
      <c r="N66" s="2" t="s">
        <v>785</v>
      </c>
      <c r="O66" s="2"/>
      <c r="P66" s="2"/>
      <c r="Q66" s="2"/>
      <c r="R66" s="2"/>
      <c r="S66" s="2"/>
      <c r="T66" s="2"/>
      <c r="U66" s="2">
        <v>3.7</v>
      </c>
      <c r="V66" s="2">
        <v>9</v>
      </c>
      <c r="W66" s="2"/>
      <c r="X66" s="5"/>
      <c r="Y66" s="2"/>
      <c r="Z66" s="5"/>
      <c r="AA66" s="2">
        <v>162</v>
      </c>
      <c r="AB66" s="2"/>
      <c r="AC66" s="5" t="s">
        <v>786</v>
      </c>
      <c r="AD66" s="5" t="s">
        <v>787</v>
      </c>
      <c r="AE66" s="3"/>
      <c r="AF66" s="6"/>
      <c r="AG66" s="7"/>
      <c r="AH66" s="2">
        <v>0</v>
      </c>
      <c r="AI66" s="7"/>
      <c r="AJ66" s="3"/>
      <c r="AK66" s="8"/>
      <c r="AL66" s="2" t="str">
        <f t="shared" ref="AL66:AL129" si="1">IF(IF(O66&lt;&gt;"",O66,IF(LEFT(TRIM(N66),1)="9",N66,""))="","",HYPERLINK("https://wa.me/351"&amp;LEFT(SUBSTITUTE(SUBSTITUTE(SUBSTITUTE(IF(O66&lt;&gt;"",O66,IF(LEFT(TRIM(N66),1)="9",N66,""))," ",""),"+351",""),"-",""),9),"Abrir WhatsApp"))</f>
        <v/>
      </c>
      <c r="AM66" s="2"/>
      <c r="AN66" s="2" t="s">
        <v>788</v>
      </c>
      <c r="AO66" s="2" t="s">
        <v>789</v>
      </c>
      <c r="AP66" s="2"/>
    </row>
    <row r="67" spans="1:42" ht="25" x14ac:dyDescent="0.35">
      <c r="A67" s="2">
        <v>66</v>
      </c>
      <c r="B67" s="2" t="s">
        <v>42</v>
      </c>
      <c r="C67" s="2">
        <v>5.0999999999999996</v>
      </c>
      <c r="D67" s="3" t="s">
        <v>43</v>
      </c>
      <c r="E67" s="3" t="s">
        <v>44</v>
      </c>
      <c r="F67" s="3" t="s">
        <v>45</v>
      </c>
      <c r="G67" s="2" t="s">
        <v>126</v>
      </c>
      <c r="H67" s="2" t="s">
        <v>790</v>
      </c>
      <c r="I67" s="2" t="s">
        <v>790</v>
      </c>
      <c r="J67" s="2" t="s">
        <v>791</v>
      </c>
      <c r="K67" s="2" t="s">
        <v>792</v>
      </c>
      <c r="L67" s="3"/>
      <c r="M67" s="3"/>
      <c r="N67" s="2" t="s">
        <v>793</v>
      </c>
      <c r="O67" s="2"/>
      <c r="P67" s="2"/>
      <c r="Q67" s="2"/>
      <c r="R67" s="2"/>
      <c r="S67" s="4" t="s">
        <v>794</v>
      </c>
      <c r="T67" s="2"/>
      <c r="U67" s="2"/>
      <c r="V67" s="2"/>
      <c r="W67" s="2"/>
      <c r="X67" s="5"/>
      <c r="Y67" s="2"/>
      <c r="Z67" s="5"/>
      <c r="AA67" s="2">
        <v>161</v>
      </c>
      <c r="AB67" s="2"/>
      <c r="AC67" s="5"/>
      <c r="AD67" s="5" t="s">
        <v>795</v>
      </c>
      <c r="AE67" s="3"/>
      <c r="AF67" s="6"/>
      <c r="AG67" s="7"/>
      <c r="AH67" s="2">
        <v>0</v>
      </c>
      <c r="AI67" s="7"/>
      <c r="AJ67" s="3"/>
      <c r="AK67" s="8"/>
      <c r="AL67" s="2" t="str">
        <f t="shared" si="1"/>
        <v/>
      </c>
      <c r="AM67" s="2"/>
      <c r="AN67" s="2" t="s">
        <v>796</v>
      </c>
      <c r="AO67" s="2" t="s">
        <v>797</v>
      </c>
      <c r="AP67" s="2"/>
    </row>
    <row r="68" spans="1:42" ht="50" x14ac:dyDescent="0.35">
      <c r="A68" s="2">
        <v>67</v>
      </c>
      <c r="B68" s="2" t="s">
        <v>42</v>
      </c>
      <c r="C68" s="2">
        <v>5.0999999999999996</v>
      </c>
      <c r="D68" s="3" t="s">
        <v>43</v>
      </c>
      <c r="E68" s="3" t="s">
        <v>44</v>
      </c>
      <c r="F68" s="3" t="s">
        <v>45</v>
      </c>
      <c r="G68" s="2" t="s">
        <v>207</v>
      </c>
      <c r="H68" s="2" t="s">
        <v>207</v>
      </c>
      <c r="I68" s="2" t="s">
        <v>798</v>
      </c>
      <c r="J68" s="2" t="s">
        <v>799</v>
      </c>
      <c r="K68" s="2" t="s">
        <v>800</v>
      </c>
      <c r="L68" s="3"/>
      <c r="M68" s="3"/>
      <c r="N68" s="2"/>
      <c r="O68" s="2" t="s">
        <v>801</v>
      </c>
      <c r="P68" s="2"/>
      <c r="Q68" s="2"/>
      <c r="R68" s="2"/>
      <c r="S68" s="4" t="s">
        <v>802</v>
      </c>
      <c r="T68" s="2"/>
      <c r="U68" s="2">
        <v>4.2</v>
      </c>
      <c r="V68" s="2">
        <v>5</v>
      </c>
      <c r="W68" s="2"/>
      <c r="X68" s="5" t="s">
        <v>213</v>
      </c>
      <c r="Y68" s="2" t="s">
        <v>66</v>
      </c>
      <c r="Z68" s="5" t="s">
        <v>803</v>
      </c>
      <c r="AA68" s="2">
        <v>20</v>
      </c>
      <c r="AB68" s="2"/>
      <c r="AC68" s="5" t="s">
        <v>804</v>
      </c>
      <c r="AD68" s="5" t="s">
        <v>805</v>
      </c>
      <c r="AE68" s="3"/>
      <c r="AF68" s="6"/>
      <c r="AG68" s="7"/>
      <c r="AH68" s="2">
        <v>0</v>
      </c>
      <c r="AI68" s="7"/>
      <c r="AJ68" s="3"/>
      <c r="AK68" s="8"/>
      <c r="AL68" s="2" t="str">
        <f t="shared" si="1"/>
        <v>Abrir WhatsApp</v>
      </c>
      <c r="AM68" s="2"/>
      <c r="AN68" s="2" t="s">
        <v>806</v>
      </c>
      <c r="AO68" s="2" t="s">
        <v>807</v>
      </c>
      <c r="AP68" s="2"/>
    </row>
    <row r="69" spans="1:42" ht="62.5" x14ac:dyDescent="0.35">
      <c r="A69" s="2">
        <v>68</v>
      </c>
      <c r="B69" s="2" t="s">
        <v>42</v>
      </c>
      <c r="C69" s="2">
        <v>5</v>
      </c>
      <c r="D69" s="3" t="s">
        <v>43</v>
      </c>
      <c r="E69" s="3" t="s">
        <v>44</v>
      </c>
      <c r="F69" s="3" t="s">
        <v>679</v>
      </c>
      <c r="G69" s="2" t="s">
        <v>46</v>
      </c>
      <c r="H69" s="2" t="s">
        <v>808</v>
      </c>
      <c r="I69" s="2" t="s">
        <v>809</v>
      </c>
      <c r="J69" s="2" t="s">
        <v>810</v>
      </c>
      <c r="K69" s="2"/>
      <c r="L69" s="3"/>
      <c r="M69" s="3"/>
      <c r="N69" s="2" t="s">
        <v>811</v>
      </c>
      <c r="O69" s="2" t="s">
        <v>812</v>
      </c>
      <c r="P69" s="2" t="s">
        <v>813</v>
      </c>
      <c r="Q69" s="2" t="s">
        <v>814</v>
      </c>
      <c r="R69" s="4" t="s">
        <v>815</v>
      </c>
      <c r="S69" s="4" t="s">
        <v>816</v>
      </c>
      <c r="T69" s="4" t="s">
        <v>817</v>
      </c>
      <c r="U69" s="2">
        <v>4.8</v>
      </c>
      <c r="V69" s="2">
        <v>73</v>
      </c>
      <c r="W69" s="2"/>
      <c r="X69" s="5" t="s">
        <v>818</v>
      </c>
      <c r="Y69" s="2" t="s">
        <v>66</v>
      </c>
      <c r="Z69" s="5" t="s">
        <v>819</v>
      </c>
      <c r="AA69" s="2">
        <v>756</v>
      </c>
      <c r="AB69" s="2" t="s">
        <v>820</v>
      </c>
      <c r="AC69" s="5"/>
      <c r="AD69" s="5" t="s">
        <v>821</v>
      </c>
      <c r="AE69" s="3"/>
      <c r="AF69" s="6"/>
      <c r="AG69" s="7"/>
      <c r="AH69" s="2">
        <v>0</v>
      </c>
      <c r="AI69" s="7"/>
      <c r="AJ69" s="3"/>
      <c r="AK69" s="8"/>
      <c r="AL69" s="2" t="str">
        <f t="shared" si="1"/>
        <v>Abrir WhatsApp</v>
      </c>
      <c r="AM69" s="2" t="s">
        <v>822</v>
      </c>
      <c r="AN69" s="2" t="s">
        <v>823</v>
      </c>
      <c r="AO69" s="2" t="s">
        <v>824</v>
      </c>
      <c r="AP69" s="2"/>
    </row>
    <row r="70" spans="1:42" ht="37.5" x14ac:dyDescent="0.35">
      <c r="A70" s="2">
        <v>69</v>
      </c>
      <c r="B70" s="2" t="s">
        <v>42</v>
      </c>
      <c r="C70" s="2">
        <v>5</v>
      </c>
      <c r="D70" s="3" t="s">
        <v>43</v>
      </c>
      <c r="E70" s="3" t="s">
        <v>44</v>
      </c>
      <c r="F70" s="3" t="s">
        <v>45</v>
      </c>
      <c r="G70" s="2" t="s">
        <v>126</v>
      </c>
      <c r="H70" s="2" t="s">
        <v>346</v>
      </c>
      <c r="I70" s="2" t="s">
        <v>825</v>
      </c>
      <c r="J70" s="2" t="s">
        <v>826</v>
      </c>
      <c r="K70" s="2" t="s">
        <v>348</v>
      </c>
      <c r="L70" s="3"/>
      <c r="M70" s="3"/>
      <c r="N70" s="2" t="s">
        <v>827</v>
      </c>
      <c r="O70" s="2" t="s">
        <v>828</v>
      </c>
      <c r="P70" s="2"/>
      <c r="Q70" s="2" t="s">
        <v>829</v>
      </c>
      <c r="R70" s="4" t="s">
        <v>830</v>
      </c>
      <c r="S70" s="4" t="s">
        <v>353</v>
      </c>
      <c r="T70" s="2"/>
      <c r="U70" s="2"/>
      <c r="V70" s="2"/>
      <c r="W70" s="2"/>
      <c r="X70" s="5" t="s">
        <v>354</v>
      </c>
      <c r="Y70" s="2" t="s">
        <v>66</v>
      </c>
      <c r="Z70" s="5" t="s">
        <v>426</v>
      </c>
      <c r="AA70" s="2">
        <v>123</v>
      </c>
      <c r="AB70" s="2"/>
      <c r="AC70" s="5"/>
      <c r="AD70" s="5" t="s">
        <v>428</v>
      </c>
      <c r="AE70" s="3"/>
      <c r="AF70" s="6"/>
      <c r="AG70" s="7"/>
      <c r="AH70" s="2">
        <v>0</v>
      </c>
      <c r="AI70" s="7"/>
      <c r="AJ70" s="3"/>
      <c r="AK70" s="8"/>
      <c r="AL70" s="2" t="str">
        <f t="shared" si="1"/>
        <v>Abrir WhatsApp</v>
      </c>
      <c r="AM70" s="2" t="s">
        <v>358</v>
      </c>
      <c r="AN70" s="2" t="s">
        <v>831</v>
      </c>
      <c r="AO70" s="2" t="s">
        <v>832</v>
      </c>
      <c r="AP70" s="2"/>
    </row>
    <row r="71" spans="1:42" x14ac:dyDescent="0.35">
      <c r="A71" s="2">
        <v>70</v>
      </c>
      <c r="B71" s="2" t="s">
        <v>42</v>
      </c>
      <c r="C71" s="2">
        <v>5</v>
      </c>
      <c r="D71" s="3" t="s">
        <v>43</v>
      </c>
      <c r="E71" s="3" t="s">
        <v>44</v>
      </c>
      <c r="F71" s="3" t="s">
        <v>45</v>
      </c>
      <c r="G71" s="2" t="s">
        <v>126</v>
      </c>
      <c r="H71" s="2" t="s">
        <v>833</v>
      </c>
      <c r="I71" s="2" t="s">
        <v>833</v>
      </c>
      <c r="J71" s="2" t="s">
        <v>834</v>
      </c>
      <c r="K71" s="2" t="s">
        <v>234</v>
      </c>
      <c r="L71" s="3"/>
      <c r="M71" s="3"/>
      <c r="N71" s="2" t="s">
        <v>835</v>
      </c>
      <c r="O71" s="2" t="s">
        <v>836</v>
      </c>
      <c r="P71" s="2"/>
      <c r="Q71" s="2" t="s">
        <v>837</v>
      </c>
      <c r="R71" s="2"/>
      <c r="S71" s="2"/>
      <c r="T71" s="2"/>
      <c r="U71" s="2"/>
      <c r="V71" s="2">
        <v>2</v>
      </c>
      <c r="W71" s="2"/>
      <c r="X71" s="5"/>
      <c r="Y71" s="2"/>
      <c r="Z71" s="5"/>
      <c r="AA71" s="2">
        <v>114</v>
      </c>
      <c r="AB71" s="2"/>
      <c r="AC71" s="5"/>
      <c r="AD71" s="5" t="s">
        <v>838</v>
      </c>
      <c r="AE71" s="3"/>
      <c r="AF71" s="6"/>
      <c r="AG71" s="7"/>
      <c r="AH71" s="2">
        <v>0</v>
      </c>
      <c r="AI71" s="7"/>
      <c r="AJ71" s="3"/>
      <c r="AK71" s="8"/>
      <c r="AL71" s="2" t="str">
        <f t="shared" si="1"/>
        <v>Abrir WhatsApp</v>
      </c>
      <c r="AM71" s="2" t="s">
        <v>238</v>
      </c>
      <c r="AN71" s="2" t="s">
        <v>839</v>
      </c>
      <c r="AO71" s="2" t="s">
        <v>840</v>
      </c>
      <c r="AP71" s="2"/>
    </row>
    <row r="72" spans="1:42" ht="125" x14ac:dyDescent="0.35">
      <c r="A72" s="2">
        <v>71</v>
      </c>
      <c r="B72" s="2" t="s">
        <v>42</v>
      </c>
      <c r="C72" s="2">
        <v>5</v>
      </c>
      <c r="D72" s="3" t="s">
        <v>43</v>
      </c>
      <c r="E72" s="3" t="s">
        <v>44</v>
      </c>
      <c r="F72" s="3" t="s">
        <v>45</v>
      </c>
      <c r="G72" s="2" t="s">
        <v>126</v>
      </c>
      <c r="H72" s="2" t="s">
        <v>126</v>
      </c>
      <c r="I72" s="2" t="s">
        <v>126</v>
      </c>
      <c r="J72" s="2" t="s">
        <v>841</v>
      </c>
      <c r="K72" s="2" t="s">
        <v>543</v>
      </c>
      <c r="L72" s="3"/>
      <c r="M72" s="3"/>
      <c r="N72" s="2" t="s">
        <v>842</v>
      </c>
      <c r="O72" s="2" t="s">
        <v>843</v>
      </c>
      <c r="P72" s="2"/>
      <c r="Q72" s="2" t="s">
        <v>844</v>
      </c>
      <c r="R72" s="4" t="s">
        <v>547</v>
      </c>
      <c r="S72" s="2"/>
      <c r="T72" s="2"/>
      <c r="U72" s="2">
        <v>4.4000000000000004</v>
      </c>
      <c r="V72" s="2">
        <v>15</v>
      </c>
      <c r="W72" s="2"/>
      <c r="X72" s="5" t="s">
        <v>845</v>
      </c>
      <c r="Y72" s="2" t="s">
        <v>118</v>
      </c>
      <c r="Z72" s="5" t="s">
        <v>846</v>
      </c>
      <c r="AA72" s="2"/>
      <c r="AB72" s="2"/>
      <c r="AC72" s="5" t="s">
        <v>847</v>
      </c>
      <c r="AD72" s="5" t="s">
        <v>848</v>
      </c>
      <c r="AE72" s="3"/>
      <c r="AF72" s="6"/>
      <c r="AG72" s="7"/>
      <c r="AH72" s="2">
        <v>0</v>
      </c>
      <c r="AI72" s="7"/>
      <c r="AJ72" s="3"/>
      <c r="AK72" s="8"/>
      <c r="AL72" s="2" t="str">
        <f t="shared" si="1"/>
        <v>Abrir WhatsApp</v>
      </c>
      <c r="AM72" s="2" t="s">
        <v>238</v>
      </c>
      <c r="AN72" s="2" t="s">
        <v>849</v>
      </c>
      <c r="AO72" s="2" t="s">
        <v>850</v>
      </c>
      <c r="AP72" s="2"/>
    </row>
    <row r="73" spans="1:42" ht="50" x14ac:dyDescent="0.35">
      <c r="A73" s="2">
        <v>72</v>
      </c>
      <c r="B73" s="2" t="s">
        <v>42</v>
      </c>
      <c r="C73" s="2">
        <v>5</v>
      </c>
      <c r="D73" s="3" t="s">
        <v>43</v>
      </c>
      <c r="E73" s="3" t="s">
        <v>44</v>
      </c>
      <c r="F73" s="3" t="s">
        <v>45</v>
      </c>
      <c r="G73" s="2" t="s">
        <v>126</v>
      </c>
      <c r="H73" s="2" t="s">
        <v>851</v>
      </c>
      <c r="I73" s="2" t="s">
        <v>851</v>
      </c>
      <c r="J73" s="2" t="s">
        <v>852</v>
      </c>
      <c r="K73" s="2" t="s">
        <v>853</v>
      </c>
      <c r="L73" s="3"/>
      <c r="M73" s="3"/>
      <c r="N73" s="2" t="s">
        <v>854</v>
      </c>
      <c r="O73" s="2" t="s">
        <v>855</v>
      </c>
      <c r="P73" s="2" t="s">
        <v>130</v>
      </c>
      <c r="Q73" s="2" t="s">
        <v>856</v>
      </c>
      <c r="R73" s="4" t="s">
        <v>857</v>
      </c>
      <c r="S73" s="4" t="s">
        <v>858</v>
      </c>
      <c r="T73" s="4" t="s">
        <v>859</v>
      </c>
      <c r="U73" s="2">
        <v>4.7</v>
      </c>
      <c r="V73" s="2">
        <v>10</v>
      </c>
      <c r="W73" s="2"/>
      <c r="X73" s="5" t="s">
        <v>695</v>
      </c>
      <c r="Y73" s="2" t="s">
        <v>66</v>
      </c>
      <c r="Z73" s="5" t="s">
        <v>860</v>
      </c>
      <c r="AA73" s="2">
        <v>128</v>
      </c>
      <c r="AB73" s="2" t="s">
        <v>861</v>
      </c>
      <c r="AC73" s="5"/>
      <c r="AD73" s="5" t="s">
        <v>862</v>
      </c>
      <c r="AE73" s="3"/>
      <c r="AF73" s="6"/>
      <c r="AG73" s="7"/>
      <c r="AH73" s="2">
        <v>0</v>
      </c>
      <c r="AI73" s="7"/>
      <c r="AJ73" s="3"/>
      <c r="AK73" s="8"/>
      <c r="AL73" s="2" t="str">
        <f t="shared" si="1"/>
        <v>Abrir WhatsApp</v>
      </c>
      <c r="AM73" s="2" t="s">
        <v>863</v>
      </c>
      <c r="AN73" s="2" t="s">
        <v>864</v>
      </c>
      <c r="AO73" s="2" t="s">
        <v>865</v>
      </c>
      <c r="AP73" s="2"/>
    </row>
    <row r="74" spans="1:42" ht="212.5" x14ac:dyDescent="0.35">
      <c r="A74" s="2">
        <v>73</v>
      </c>
      <c r="B74" s="2" t="s">
        <v>42</v>
      </c>
      <c r="C74" s="2">
        <v>5</v>
      </c>
      <c r="D74" s="3" t="s">
        <v>43</v>
      </c>
      <c r="E74" s="3" t="s">
        <v>44</v>
      </c>
      <c r="F74" s="3" t="s">
        <v>45</v>
      </c>
      <c r="G74" s="2" t="s">
        <v>207</v>
      </c>
      <c r="H74" s="2" t="s">
        <v>866</v>
      </c>
      <c r="I74" s="2" t="s">
        <v>866</v>
      </c>
      <c r="J74" s="2" t="s">
        <v>867</v>
      </c>
      <c r="K74" s="2" t="s">
        <v>800</v>
      </c>
      <c r="L74" s="3"/>
      <c r="M74" s="3"/>
      <c r="N74" s="2"/>
      <c r="O74" s="2" t="s">
        <v>868</v>
      </c>
      <c r="P74" s="2"/>
      <c r="Q74" s="2" t="s">
        <v>869</v>
      </c>
      <c r="R74" s="2"/>
      <c r="S74" s="2"/>
      <c r="T74" s="2"/>
      <c r="U74" s="2">
        <v>3.9</v>
      </c>
      <c r="V74" s="2">
        <v>7</v>
      </c>
      <c r="W74" s="2" t="s">
        <v>870</v>
      </c>
      <c r="X74" s="5"/>
      <c r="Y74" s="2" t="s">
        <v>118</v>
      </c>
      <c r="Z74" s="5" t="s">
        <v>871</v>
      </c>
      <c r="AA74" s="2"/>
      <c r="AB74" s="2"/>
      <c r="AC74" s="5" t="s">
        <v>872</v>
      </c>
      <c r="AD74" s="5" t="s">
        <v>873</v>
      </c>
      <c r="AE74" s="3"/>
      <c r="AF74" s="6"/>
      <c r="AG74" s="7"/>
      <c r="AH74" s="2">
        <v>0</v>
      </c>
      <c r="AI74" s="7"/>
      <c r="AJ74" s="3"/>
      <c r="AK74" s="8"/>
      <c r="AL74" s="2" t="str">
        <f t="shared" si="1"/>
        <v>Abrir WhatsApp</v>
      </c>
      <c r="AM74" s="2" t="s">
        <v>874</v>
      </c>
      <c r="AN74" s="2" t="s">
        <v>875</v>
      </c>
      <c r="AO74" s="2" t="s">
        <v>876</v>
      </c>
      <c r="AP74" s="2"/>
    </row>
    <row r="75" spans="1:42" ht="75" x14ac:dyDescent="0.35">
      <c r="A75" s="2">
        <v>74</v>
      </c>
      <c r="B75" s="2" t="s">
        <v>42</v>
      </c>
      <c r="C75" s="2">
        <v>5</v>
      </c>
      <c r="D75" s="3" t="s">
        <v>43</v>
      </c>
      <c r="E75" s="3" t="s">
        <v>44</v>
      </c>
      <c r="F75" s="3" t="s">
        <v>45</v>
      </c>
      <c r="G75" s="2" t="s">
        <v>207</v>
      </c>
      <c r="H75" s="2" t="s">
        <v>866</v>
      </c>
      <c r="I75" s="2" t="s">
        <v>877</v>
      </c>
      <c r="J75" s="2" t="s">
        <v>878</v>
      </c>
      <c r="K75" s="2" t="s">
        <v>726</v>
      </c>
      <c r="L75" s="3"/>
      <c r="M75" s="3"/>
      <c r="N75" s="2" t="s">
        <v>879</v>
      </c>
      <c r="O75" s="2"/>
      <c r="P75" s="2"/>
      <c r="Q75" s="2" t="s">
        <v>880</v>
      </c>
      <c r="R75" s="4" t="s">
        <v>881</v>
      </c>
      <c r="S75" s="4" t="s">
        <v>882</v>
      </c>
      <c r="T75" s="4" t="s">
        <v>732</v>
      </c>
      <c r="U75" s="2">
        <v>4.7</v>
      </c>
      <c r="V75" s="2">
        <v>19</v>
      </c>
      <c r="W75" s="2"/>
      <c r="X75" s="5" t="s">
        <v>733</v>
      </c>
      <c r="Y75" s="2" t="s">
        <v>118</v>
      </c>
      <c r="Z75" s="5" t="s">
        <v>883</v>
      </c>
      <c r="AA75" s="2">
        <v>240</v>
      </c>
      <c r="AB75" s="2"/>
      <c r="AC75" s="5" t="s">
        <v>884</v>
      </c>
      <c r="AD75" s="5" t="s">
        <v>885</v>
      </c>
      <c r="AE75" s="3"/>
      <c r="AF75" s="6"/>
      <c r="AG75" s="7"/>
      <c r="AH75" s="2">
        <v>0</v>
      </c>
      <c r="AI75" s="7"/>
      <c r="AJ75" s="3"/>
      <c r="AK75" s="8"/>
      <c r="AL75" s="2" t="str">
        <f t="shared" si="1"/>
        <v/>
      </c>
      <c r="AM75" s="2" t="s">
        <v>737</v>
      </c>
      <c r="AN75" s="2" t="s">
        <v>886</v>
      </c>
      <c r="AO75" s="2" t="s">
        <v>887</v>
      </c>
      <c r="AP75" s="2"/>
    </row>
    <row r="76" spans="1:42" ht="62.5" x14ac:dyDescent="0.35">
      <c r="A76" s="2">
        <v>75</v>
      </c>
      <c r="B76" s="2" t="s">
        <v>42</v>
      </c>
      <c r="C76" s="2">
        <v>4.9000000000000004</v>
      </c>
      <c r="D76" s="3" t="s">
        <v>43</v>
      </c>
      <c r="E76" s="3" t="s">
        <v>44</v>
      </c>
      <c r="F76" s="3" t="s">
        <v>45</v>
      </c>
      <c r="G76" s="2" t="s">
        <v>207</v>
      </c>
      <c r="H76" s="2" t="s">
        <v>207</v>
      </c>
      <c r="I76" s="2" t="s">
        <v>207</v>
      </c>
      <c r="J76" s="2" t="s">
        <v>888</v>
      </c>
      <c r="K76" s="2" t="s">
        <v>561</v>
      </c>
      <c r="L76" s="3"/>
      <c r="M76" s="3"/>
      <c r="N76" s="2" t="s">
        <v>889</v>
      </c>
      <c r="O76" s="2" t="s">
        <v>890</v>
      </c>
      <c r="P76" s="2"/>
      <c r="Q76" s="2" t="s">
        <v>891</v>
      </c>
      <c r="R76" s="2" t="s">
        <v>892</v>
      </c>
      <c r="S76" s="2"/>
      <c r="T76" s="2"/>
      <c r="U76" s="2">
        <v>4.5999999999999996</v>
      </c>
      <c r="V76" s="2">
        <v>36</v>
      </c>
      <c r="W76" s="2"/>
      <c r="X76" s="5" t="s">
        <v>213</v>
      </c>
      <c r="Y76" s="2" t="s">
        <v>66</v>
      </c>
      <c r="Z76" s="5" t="s">
        <v>567</v>
      </c>
      <c r="AA76" s="2">
        <v>230</v>
      </c>
      <c r="AB76" s="2"/>
      <c r="AC76" s="5" t="s">
        <v>893</v>
      </c>
      <c r="AD76" s="5" t="s">
        <v>894</v>
      </c>
      <c r="AE76" s="3"/>
      <c r="AF76" s="6"/>
      <c r="AG76" s="7"/>
      <c r="AH76" s="2">
        <v>0</v>
      </c>
      <c r="AI76" s="7"/>
      <c r="AJ76" s="3"/>
      <c r="AK76" s="8"/>
      <c r="AL76" s="2" t="str">
        <f t="shared" si="1"/>
        <v>Abrir WhatsApp</v>
      </c>
      <c r="AM76" s="2" t="s">
        <v>895</v>
      </c>
      <c r="AN76" s="2" t="s">
        <v>896</v>
      </c>
      <c r="AO76" s="2" t="s">
        <v>897</v>
      </c>
      <c r="AP76" s="2"/>
    </row>
    <row r="77" spans="1:42" ht="75" x14ac:dyDescent="0.35">
      <c r="A77" s="2">
        <v>76</v>
      </c>
      <c r="B77" s="2" t="s">
        <v>42</v>
      </c>
      <c r="C77" s="2">
        <v>4.9000000000000004</v>
      </c>
      <c r="D77" s="3" t="s">
        <v>43</v>
      </c>
      <c r="E77" s="3" t="s">
        <v>44</v>
      </c>
      <c r="F77" s="3" t="s">
        <v>45</v>
      </c>
      <c r="G77" s="2" t="s">
        <v>207</v>
      </c>
      <c r="H77" s="2" t="s">
        <v>723</v>
      </c>
      <c r="I77" s="2" t="s">
        <v>723</v>
      </c>
      <c r="J77" s="2" t="s">
        <v>898</v>
      </c>
      <c r="K77" s="2" t="s">
        <v>726</v>
      </c>
      <c r="L77" s="3"/>
      <c r="M77" s="3"/>
      <c r="N77" s="2" t="s">
        <v>899</v>
      </c>
      <c r="O77" s="2"/>
      <c r="P77" s="2"/>
      <c r="Q77" s="2" t="s">
        <v>900</v>
      </c>
      <c r="R77" s="4" t="s">
        <v>901</v>
      </c>
      <c r="S77" s="4" t="s">
        <v>731</v>
      </c>
      <c r="T77" s="4" t="s">
        <v>732</v>
      </c>
      <c r="U77" s="2">
        <v>4.8</v>
      </c>
      <c r="V77" s="2">
        <v>26</v>
      </c>
      <c r="W77" s="2"/>
      <c r="X77" s="5" t="s">
        <v>733</v>
      </c>
      <c r="Y77" s="2" t="s">
        <v>118</v>
      </c>
      <c r="Z77" s="5" t="s">
        <v>902</v>
      </c>
      <c r="AA77" s="2">
        <v>218</v>
      </c>
      <c r="AB77" s="2"/>
      <c r="AC77" s="5" t="s">
        <v>903</v>
      </c>
      <c r="AD77" s="5" t="s">
        <v>904</v>
      </c>
      <c r="AE77" s="3"/>
      <c r="AF77" s="6"/>
      <c r="AG77" s="7"/>
      <c r="AH77" s="2">
        <v>0</v>
      </c>
      <c r="AI77" s="7"/>
      <c r="AJ77" s="3"/>
      <c r="AK77" s="8"/>
      <c r="AL77" s="2" t="str">
        <f t="shared" si="1"/>
        <v/>
      </c>
      <c r="AM77" s="2" t="s">
        <v>737</v>
      </c>
      <c r="AN77" s="2" t="s">
        <v>905</v>
      </c>
      <c r="AO77" s="2" t="s">
        <v>906</v>
      </c>
      <c r="AP77" s="2"/>
    </row>
    <row r="78" spans="1:42" ht="50" x14ac:dyDescent="0.35">
      <c r="A78" s="2">
        <v>77</v>
      </c>
      <c r="B78" s="2" t="s">
        <v>42</v>
      </c>
      <c r="C78" s="2">
        <v>4.8</v>
      </c>
      <c r="D78" s="3" t="s">
        <v>43</v>
      </c>
      <c r="E78" s="3" t="s">
        <v>44</v>
      </c>
      <c r="F78" s="3" t="s">
        <v>45</v>
      </c>
      <c r="G78" s="2" t="s">
        <v>107</v>
      </c>
      <c r="H78" s="2" t="s">
        <v>304</v>
      </c>
      <c r="I78" s="2" t="s">
        <v>304</v>
      </c>
      <c r="J78" s="2" t="s">
        <v>907</v>
      </c>
      <c r="K78" s="2" t="s">
        <v>908</v>
      </c>
      <c r="L78" s="3"/>
      <c r="M78" s="3"/>
      <c r="N78" s="2" t="s">
        <v>909</v>
      </c>
      <c r="O78" s="2"/>
      <c r="P78" s="2"/>
      <c r="Q78" s="2" t="s">
        <v>910</v>
      </c>
      <c r="R78" s="2" t="s">
        <v>911</v>
      </c>
      <c r="S78" s="4" t="s">
        <v>912</v>
      </c>
      <c r="T78" s="2"/>
      <c r="U78" s="2">
        <v>4.8</v>
      </c>
      <c r="V78" s="2">
        <v>4</v>
      </c>
      <c r="W78" s="2"/>
      <c r="X78" s="5"/>
      <c r="Y78" s="2" t="s">
        <v>66</v>
      </c>
      <c r="Z78" s="5" t="s">
        <v>913</v>
      </c>
      <c r="AA78" s="2">
        <v>211</v>
      </c>
      <c r="AB78" s="2"/>
      <c r="AC78" s="5"/>
      <c r="AD78" s="5" t="s">
        <v>914</v>
      </c>
      <c r="AE78" s="3"/>
      <c r="AF78" s="6"/>
      <c r="AG78" s="7"/>
      <c r="AH78" s="2">
        <v>0</v>
      </c>
      <c r="AI78" s="7"/>
      <c r="AJ78" s="3"/>
      <c r="AK78" s="8"/>
      <c r="AL78" s="2" t="str">
        <f t="shared" si="1"/>
        <v/>
      </c>
      <c r="AM78" s="2" t="s">
        <v>915</v>
      </c>
      <c r="AN78" s="2" t="s">
        <v>916</v>
      </c>
      <c r="AO78" s="2" t="s">
        <v>917</v>
      </c>
      <c r="AP78" s="2"/>
    </row>
    <row r="79" spans="1:42" ht="37.5" x14ac:dyDescent="0.35">
      <c r="A79" s="2">
        <v>78</v>
      </c>
      <c r="B79" s="2" t="s">
        <v>42</v>
      </c>
      <c r="C79" s="2">
        <v>4.8</v>
      </c>
      <c r="D79" s="3" t="s">
        <v>43</v>
      </c>
      <c r="E79" s="3" t="s">
        <v>44</v>
      </c>
      <c r="F79" s="3" t="s">
        <v>45</v>
      </c>
      <c r="G79" s="2" t="s">
        <v>107</v>
      </c>
      <c r="H79" s="2" t="s">
        <v>480</v>
      </c>
      <c r="I79" s="2" t="s">
        <v>480</v>
      </c>
      <c r="J79" s="2" t="s">
        <v>918</v>
      </c>
      <c r="K79" s="2" t="s">
        <v>110</v>
      </c>
      <c r="L79" s="3"/>
      <c r="M79" s="3"/>
      <c r="N79" s="2" t="s">
        <v>919</v>
      </c>
      <c r="O79" s="2" t="s">
        <v>920</v>
      </c>
      <c r="P79" s="2"/>
      <c r="Q79" s="2" t="s">
        <v>113</v>
      </c>
      <c r="R79" s="4" t="s">
        <v>921</v>
      </c>
      <c r="S79" s="4" t="s">
        <v>115</v>
      </c>
      <c r="T79" s="2"/>
      <c r="U79" s="2">
        <v>4.2</v>
      </c>
      <c r="V79" s="2">
        <v>5</v>
      </c>
      <c r="W79" s="2" t="s">
        <v>116</v>
      </c>
      <c r="X79" s="5" t="s">
        <v>675</v>
      </c>
      <c r="Y79" s="2" t="s">
        <v>66</v>
      </c>
      <c r="Z79" s="5" t="s">
        <v>922</v>
      </c>
      <c r="AA79" s="2">
        <v>205</v>
      </c>
      <c r="AB79" s="2" t="s">
        <v>120</v>
      </c>
      <c r="AC79" s="5"/>
      <c r="AD79" s="5" t="s">
        <v>923</v>
      </c>
      <c r="AE79" s="3"/>
      <c r="AF79" s="6"/>
      <c r="AG79" s="7"/>
      <c r="AH79" s="2">
        <v>0</v>
      </c>
      <c r="AI79" s="7"/>
      <c r="AJ79" s="3"/>
      <c r="AK79" s="8"/>
      <c r="AL79" s="2" t="str">
        <f t="shared" si="1"/>
        <v>Abrir WhatsApp</v>
      </c>
      <c r="AM79" s="2" t="s">
        <v>123</v>
      </c>
      <c r="AN79" s="2" t="s">
        <v>924</v>
      </c>
      <c r="AO79" s="2" t="s">
        <v>925</v>
      </c>
      <c r="AP79" s="2"/>
    </row>
    <row r="80" spans="1:42" x14ac:dyDescent="0.35">
      <c r="A80" s="2">
        <v>79</v>
      </c>
      <c r="B80" s="2" t="s">
        <v>42</v>
      </c>
      <c r="C80" s="2">
        <v>4.8</v>
      </c>
      <c r="D80" s="3" t="s">
        <v>43</v>
      </c>
      <c r="E80" s="3" t="s">
        <v>44</v>
      </c>
      <c r="F80" s="3" t="s">
        <v>45</v>
      </c>
      <c r="G80" s="2" t="s">
        <v>107</v>
      </c>
      <c r="H80" s="2" t="s">
        <v>480</v>
      </c>
      <c r="I80" s="2" t="s">
        <v>926</v>
      </c>
      <c r="J80" s="2" t="s">
        <v>927</v>
      </c>
      <c r="K80" s="2" t="s">
        <v>482</v>
      </c>
      <c r="L80" s="3"/>
      <c r="M80" s="3"/>
      <c r="N80" s="2" t="s">
        <v>928</v>
      </c>
      <c r="O80" s="2" t="s">
        <v>929</v>
      </c>
      <c r="P80" s="2" t="s">
        <v>130</v>
      </c>
      <c r="Q80" s="2"/>
      <c r="R80" s="4" t="s">
        <v>485</v>
      </c>
      <c r="S80" s="2" t="s">
        <v>930</v>
      </c>
      <c r="T80" s="2"/>
      <c r="U80" s="2"/>
      <c r="V80" s="2"/>
      <c r="W80" s="2"/>
      <c r="X80" s="5" t="s">
        <v>487</v>
      </c>
      <c r="Y80" s="2"/>
      <c r="Z80" s="5"/>
      <c r="AA80" s="2">
        <v>198</v>
      </c>
      <c r="AB80" s="2"/>
      <c r="AC80" s="5"/>
      <c r="AD80" s="5" t="s">
        <v>931</v>
      </c>
      <c r="AE80" s="3"/>
      <c r="AF80" s="6"/>
      <c r="AG80" s="7"/>
      <c r="AH80" s="2">
        <v>0</v>
      </c>
      <c r="AI80" s="7"/>
      <c r="AJ80" s="3"/>
      <c r="AK80" s="8"/>
      <c r="AL80" s="2" t="str">
        <f t="shared" si="1"/>
        <v>Abrir WhatsApp</v>
      </c>
      <c r="AM80" s="2" t="s">
        <v>932</v>
      </c>
      <c r="AN80" s="2" t="s">
        <v>933</v>
      </c>
      <c r="AO80" s="2" t="s">
        <v>934</v>
      </c>
      <c r="AP80" s="2"/>
    </row>
    <row r="81" spans="1:42" ht="37.5" x14ac:dyDescent="0.35">
      <c r="A81" s="2">
        <v>80</v>
      </c>
      <c r="B81" s="2" t="s">
        <v>42</v>
      </c>
      <c r="C81" s="2">
        <v>4.8</v>
      </c>
      <c r="D81" s="3" t="s">
        <v>43</v>
      </c>
      <c r="E81" s="3" t="s">
        <v>44</v>
      </c>
      <c r="F81" s="3" t="s">
        <v>45</v>
      </c>
      <c r="G81" s="2" t="s">
        <v>107</v>
      </c>
      <c r="H81" s="2" t="s">
        <v>504</v>
      </c>
      <c r="I81" s="2" t="s">
        <v>504</v>
      </c>
      <c r="J81" s="2" t="s">
        <v>935</v>
      </c>
      <c r="K81" s="2" t="s">
        <v>110</v>
      </c>
      <c r="L81" s="3"/>
      <c r="M81" s="3"/>
      <c r="N81" s="2" t="s">
        <v>936</v>
      </c>
      <c r="O81" s="2" t="s">
        <v>937</v>
      </c>
      <c r="P81" s="2"/>
      <c r="Q81" s="2" t="s">
        <v>113</v>
      </c>
      <c r="R81" s="4" t="s">
        <v>938</v>
      </c>
      <c r="S81" s="4" t="s">
        <v>115</v>
      </c>
      <c r="T81" s="2"/>
      <c r="U81" s="2">
        <v>5</v>
      </c>
      <c r="V81" s="2">
        <v>2</v>
      </c>
      <c r="W81" s="2" t="s">
        <v>116</v>
      </c>
      <c r="X81" s="5" t="s">
        <v>675</v>
      </c>
      <c r="Y81" s="2" t="s">
        <v>66</v>
      </c>
      <c r="Z81" s="5" t="s">
        <v>310</v>
      </c>
      <c r="AA81" s="2">
        <v>195</v>
      </c>
      <c r="AB81" s="2" t="s">
        <v>120</v>
      </c>
      <c r="AC81" s="5"/>
      <c r="AD81" s="5" t="s">
        <v>923</v>
      </c>
      <c r="AE81" s="3"/>
      <c r="AF81" s="6"/>
      <c r="AG81" s="7"/>
      <c r="AH81" s="2">
        <v>0</v>
      </c>
      <c r="AI81" s="7"/>
      <c r="AJ81" s="3"/>
      <c r="AK81" s="8"/>
      <c r="AL81" s="2" t="str">
        <f t="shared" si="1"/>
        <v>Abrir WhatsApp</v>
      </c>
      <c r="AM81" s="2" t="s">
        <v>123</v>
      </c>
      <c r="AN81" s="2" t="s">
        <v>939</v>
      </c>
      <c r="AO81" s="2" t="s">
        <v>940</v>
      </c>
      <c r="AP81" s="2"/>
    </row>
    <row r="82" spans="1:42" ht="37.5" x14ac:dyDescent="0.35">
      <c r="A82" s="2">
        <v>81</v>
      </c>
      <c r="B82" s="2" t="s">
        <v>42</v>
      </c>
      <c r="C82" s="2">
        <v>4.8</v>
      </c>
      <c r="D82" s="3" t="s">
        <v>43</v>
      </c>
      <c r="E82" s="3" t="s">
        <v>44</v>
      </c>
      <c r="F82" s="3" t="s">
        <v>45</v>
      </c>
      <c r="G82" s="2" t="s">
        <v>207</v>
      </c>
      <c r="H82" s="2" t="s">
        <v>866</v>
      </c>
      <c r="I82" s="2" t="s">
        <v>866</v>
      </c>
      <c r="J82" s="2" t="s">
        <v>941</v>
      </c>
      <c r="K82" s="2" t="s">
        <v>210</v>
      </c>
      <c r="L82" s="3"/>
      <c r="M82" s="3"/>
      <c r="N82" s="2" t="s">
        <v>942</v>
      </c>
      <c r="O82" s="2" t="s">
        <v>943</v>
      </c>
      <c r="P82" s="2"/>
      <c r="Q82" s="2" t="s">
        <v>944</v>
      </c>
      <c r="R82" s="4" t="s">
        <v>945</v>
      </c>
      <c r="S82" s="4" t="s">
        <v>946</v>
      </c>
      <c r="T82" s="2"/>
      <c r="U82" s="2"/>
      <c r="V82" s="2"/>
      <c r="W82" s="2"/>
      <c r="X82" s="5"/>
      <c r="Y82" s="2"/>
      <c r="Z82" s="5"/>
      <c r="AA82" s="2">
        <v>322</v>
      </c>
      <c r="AB82" s="2"/>
      <c r="AC82" s="5"/>
      <c r="AD82" s="5" t="s">
        <v>947</v>
      </c>
      <c r="AE82" s="3"/>
      <c r="AF82" s="6"/>
      <c r="AG82" s="7"/>
      <c r="AH82" s="2">
        <v>0</v>
      </c>
      <c r="AI82" s="7"/>
      <c r="AJ82" s="3"/>
      <c r="AK82" s="8"/>
      <c r="AL82" s="2" t="str">
        <f t="shared" si="1"/>
        <v>Abrir WhatsApp</v>
      </c>
      <c r="AM82" s="2" t="s">
        <v>948</v>
      </c>
      <c r="AN82" s="2" t="s">
        <v>949</v>
      </c>
      <c r="AO82" s="2" t="s">
        <v>950</v>
      </c>
      <c r="AP82" s="2"/>
    </row>
    <row r="83" spans="1:42" ht="50" x14ac:dyDescent="0.35">
      <c r="A83" s="2">
        <v>82</v>
      </c>
      <c r="B83" s="2" t="s">
        <v>42</v>
      </c>
      <c r="C83" s="2">
        <v>4.7</v>
      </c>
      <c r="D83" s="3" t="s">
        <v>43</v>
      </c>
      <c r="E83" s="3" t="s">
        <v>44</v>
      </c>
      <c r="F83" s="3" t="s">
        <v>679</v>
      </c>
      <c r="G83" s="2" t="s">
        <v>126</v>
      </c>
      <c r="H83" s="2" t="s">
        <v>702</v>
      </c>
      <c r="I83" s="2" t="s">
        <v>702</v>
      </c>
      <c r="J83" s="2" t="s">
        <v>951</v>
      </c>
      <c r="K83" s="2"/>
      <c r="L83" s="3"/>
      <c r="M83" s="3"/>
      <c r="N83" s="2" t="s">
        <v>952</v>
      </c>
      <c r="O83" s="2"/>
      <c r="P83" s="2"/>
      <c r="Q83" s="2"/>
      <c r="R83" s="2"/>
      <c r="S83" s="4" t="s">
        <v>953</v>
      </c>
      <c r="T83" s="2"/>
      <c r="U83" s="2">
        <v>3.6</v>
      </c>
      <c r="V83" s="2">
        <v>5</v>
      </c>
      <c r="W83" s="2"/>
      <c r="X83" s="5"/>
      <c r="Y83" s="2"/>
      <c r="Z83" s="5"/>
      <c r="AA83" s="2">
        <v>183</v>
      </c>
      <c r="AB83" s="2"/>
      <c r="AC83" s="5" t="s">
        <v>954</v>
      </c>
      <c r="AD83" s="5" t="s">
        <v>955</v>
      </c>
      <c r="AE83" s="3"/>
      <c r="AF83" s="6"/>
      <c r="AG83" s="7"/>
      <c r="AH83" s="2">
        <v>0</v>
      </c>
      <c r="AI83" s="7"/>
      <c r="AJ83" s="3"/>
      <c r="AK83" s="8"/>
      <c r="AL83" s="2" t="str">
        <f t="shared" si="1"/>
        <v/>
      </c>
      <c r="AM83" s="2"/>
      <c r="AN83" s="2" t="s">
        <v>956</v>
      </c>
      <c r="AO83" s="2" t="s">
        <v>957</v>
      </c>
      <c r="AP83" s="2"/>
    </row>
    <row r="84" spans="1:42" ht="37.5" x14ac:dyDescent="0.35">
      <c r="A84" s="2">
        <v>83</v>
      </c>
      <c r="B84" s="2" t="s">
        <v>42</v>
      </c>
      <c r="C84" s="2">
        <v>4.7</v>
      </c>
      <c r="D84" s="3" t="s">
        <v>43</v>
      </c>
      <c r="E84" s="3" t="s">
        <v>44</v>
      </c>
      <c r="F84" s="3" t="s">
        <v>45</v>
      </c>
      <c r="G84" s="2" t="s">
        <v>126</v>
      </c>
      <c r="H84" s="2" t="s">
        <v>958</v>
      </c>
      <c r="I84" s="2" t="s">
        <v>958</v>
      </c>
      <c r="J84" s="2" t="s">
        <v>959</v>
      </c>
      <c r="K84" s="2" t="s">
        <v>792</v>
      </c>
      <c r="L84" s="3"/>
      <c r="M84" s="3"/>
      <c r="N84" s="2" t="s">
        <v>960</v>
      </c>
      <c r="O84" s="2"/>
      <c r="P84" s="2"/>
      <c r="Q84" s="2"/>
      <c r="R84" s="2"/>
      <c r="S84" s="4" t="s">
        <v>794</v>
      </c>
      <c r="T84" s="2"/>
      <c r="U84" s="2"/>
      <c r="V84" s="2"/>
      <c r="W84" s="2"/>
      <c r="X84" s="5"/>
      <c r="Y84" s="2"/>
      <c r="Z84" s="5"/>
      <c r="AA84" s="2">
        <v>48</v>
      </c>
      <c r="AB84" s="2"/>
      <c r="AC84" s="5"/>
      <c r="AD84" s="5" t="s">
        <v>961</v>
      </c>
      <c r="AE84" s="3"/>
      <c r="AF84" s="6"/>
      <c r="AG84" s="7"/>
      <c r="AH84" s="2">
        <v>0</v>
      </c>
      <c r="AI84" s="7"/>
      <c r="AJ84" s="3"/>
      <c r="AK84" s="8"/>
      <c r="AL84" s="2" t="str">
        <f t="shared" si="1"/>
        <v/>
      </c>
      <c r="AM84" s="2"/>
      <c r="AN84" s="2" t="s">
        <v>962</v>
      </c>
      <c r="AO84" s="2" t="s">
        <v>963</v>
      </c>
      <c r="AP84" s="2"/>
    </row>
    <row r="85" spans="1:42" ht="62.5" x14ac:dyDescent="0.35">
      <c r="A85" s="2">
        <v>84</v>
      </c>
      <c r="B85" s="2" t="s">
        <v>42</v>
      </c>
      <c r="C85" s="2">
        <v>4.7</v>
      </c>
      <c r="D85" s="3" t="s">
        <v>43</v>
      </c>
      <c r="E85" s="3" t="s">
        <v>44</v>
      </c>
      <c r="F85" s="3" t="s">
        <v>45</v>
      </c>
      <c r="G85" s="2" t="s">
        <v>393</v>
      </c>
      <c r="H85" s="2" t="s">
        <v>964</v>
      </c>
      <c r="I85" s="2" t="s">
        <v>964</v>
      </c>
      <c r="J85" s="2" t="s">
        <v>965</v>
      </c>
      <c r="K85" s="2" t="s">
        <v>966</v>
      </c>
      <c r="L85" s="3"/>
      <c r="M85" s="3"/>
      <c r="N85" s="2" t="s">
        <v>967</v>
      </c>
      <c r="O85" s="2"/>
      <c r="P85" s="2"/>
      <c r="Q85" s="2"/>
      <c r="R85" s="2"/>
      <c r="S85" s="4" t="s">
        <v>968</v>
      </c>
      <c r="T85" s="2"/>
      <c r="U85" s="2" t="s">
        <v>969</v>
      </c>
      <c r="V85" s="2">
        <v>7</v>
      </c>
      <c r="W85" s="2"/>
      <c r="X85" s="5"/>
      <c r="Y85" s="2" t="s">
        <v>118</v>
      </c>
      <c r="Z85" s="5" t="s">
        <v>970</v>
      </c>
      <c r="AA85" s="2">
        <v>310</v>
      </c>
      <c r="AB85" s="2" t="s">
        <v>971</v>
      </c>
      <c r="AC85" s="5" t="s">
        <v>972</v>
      </c>
      <c r="AD85" s="5" t="s">
        <v>973</v>
      </c>
      <c r="AE85" s="3"/>
      <c r="AF85" s="6"/>
      <c r="AG85" s="7"/>
      <c r="AH85" s="2">
        <v>0</v>
      </c>
      <c r="AI85" s="7"/>
      <c r="AJ85" s="3"/>
      <c r="AK85" s="8"/>
      <c r="AL85" s="2" t="str">
        <f t="shared" si="1"/>
        <v/>
      </c>
      <c r="AM85" s="2"/>
      <c r="AN85" s="2" t="s">
        <v>974</v>
      </c>
      <c r="AO85" s="2" t="s">
        <v>975</v>
      </c>
      <c r="AP85" s="2"/>
    </row>
    <row r="86" spans="1:42" ht="137.5" x14ac:dyDescent="0.35">
      <c r="A86" s="2">
        <v>85</v>
      </c>
      <c r="B86" s="2" t="s">
        <v>42</v>
      </c>
      <c r="C86" s="2">
        <v>4.7</v>
      </c>
      <c r="D86" s="3" t="s">
        <v>43</v>
      </c>
      <c r="E86" s="3" t="s">
        <v>44</v>
      </c>
      <c r="F86" s="3" t="s">
        <v>45</v>
      </c>
      <c r="G86" s="2" t="s">
        <v>393</v>
      </c>
      <c r="H86" s="2" t="s">
        <v>393</v>
      </c>
      <c r="I86" s="2" t="s">
        <v>393</v>
      </c>
      <c r="J86" s="2" t="s">
        <v>976</v>
      </c>
      <c r="K86" s="2" t="s">
        <v>977</v>
      </c>
      <c r="L86" s="3"/>
      <c r="M86" s="3"/>
      <c r="N86" s="2" t="s">
        <v>978</v>
      </c>
      <c r="O86" s="2" t="s">
        <v>979</v>
      </c>
      <c r="P86" s="2" t="s">
        <v>130</v>
      </c>
      <c r="Q86" s="2" t="s">
        <v>980</v>
      </c>
      <c r="R86" s="4" t="s">
        <v>981</v>
      </c>
      <c r="S86" s="4" t="s">
        <v>982</v>
      </c>
      <c r="T86" s="4" t="s">
        <v>983</v>
      </c>
      <c r="U86" s="2"/>
      <c r="V86" s="2"/>
      <c r="W86" s="2" t="s">
        <v>984</v>
      </c>
      <c r="X86" s="5" t="s">
        <v>985</v>
      </c>
      <c r="Y86" s="2" t="s">
        <v>66</v>
      </c>
      <c r="Z86" s="5" t="s">
        <v>986</v>
      </c>
      <c r="AA86" s="2">
        <v>298</v>
      </c>
      <c r="AB86" s="2" t="s">
        <v>137</v>
      </c>
      <c r="AC86" s="5" t="s">
        <v>987</v>
      </c>
      <c r="AD86" s="5" t="s">
        <v>988</v>
      </c>
      <c r="AE86" s="3"/>
      <c r="AF86" s="6"/>
      <c r="AG86" s="7"/>
      <c r="AH86" s="2">
        <v>0</v>
      </c>
      <c r="AI86" s="7"/>
      <c r="AJ86" s="3"/>
      <c r="AK86" s="8"/>
      <c r="AL86" s="2" t="str">
        <f t="shared" si="1"/>
        <v>Abrir WhatsApp</v>
      </c>
      <c r="AM86" s="2" t="s">
        <v>981</v>
      </c>
      <c r="AN86" s="2" t="s">
        <v>989</v>
      </c>
      <c r="AO86" s="2" t="s">
        <v>990</v>
      </c>
      <c r="AP86" s="2"/>
    </row>
    <row r="87" spans="1:42" ht="50" x14ac:dyDescent="0.35">
      <c r="A87" s="2">
        <v>86</v>
      </c>
      <c r="B87" s="2" t="s">
        <v>42</v>
      </c>
      <c r="C87" s="2">
        <v>4.7</v>
      </c>
      <c r="D87" s="3" t="s">
        <v>43</v>
      </c>
      <c r="E87" s="3" t="s">
        <v>44</v>
      </c>
      <c r="F87" s="3" t="s">
        <v>45</v>
      </c>
      <c r="G87" s="2" t="s">
        <v>991</v>
      </c>
      <c r="H87" s="2" t="s">
        <v>991</v>
      </c>
      <c r="I87" s="2" t="s">
        <v>991</v>
      </c>
      <c r="J87" s="2" t="s">
        <v>992</v>
      </c>
      <c r="K87" s="2" t="s">
        <v>993</v>
      </c>
      <c r="L87" s="3"/>
      <c r="M87" s="3"/>
      <c r="N87" s="2" t="s">
        <v>994</v>
      </c>
      <c r="O87" s="2" t="s">
        <v>995</v>
      </c>
      <c r="P87" s="2"/>
      <c r="Q87" s="2" t="s">
        <v>996</v>
      </c>
      <c r="R87" s="4" t="s">
        <v>997</v>
      </c>
      <c r="S87" s="4" t="s">
        <v>998</v>
      </c>
      <c r="T87" s="2"/>
      <c r="U87" s="2">
        <v>4.7</v>
      </c>
      <c r="V87" s="2">
        <v>30</v>
      </c>
      <c r="W87" s="2"/>
      <c r="X87" s="5" t="s">
        <v>999</v>
      </c>
      <c r="Y87" s="2" t="s">
        <v>66</v>
      </c>
      <c r="Z87" s="5" t="s">
        <v>1000</v>
      </c>
      <c r="AA87" s="2">
        <v>426</v>
      </c>
      <c r="AB87" s="2" t="s">
        <v>1001</v>
      </c>
      <c r="AC87" s="5"/>
      <c r="AD87" s="5" t="s">
        <v>1002</v>
      </c>
      <c r="AE87" s="3"/>
      <c r="AF87" s="6"/>
      <c r="AG87" s="7"/>
      <c r="AH87" s="2">
        <v>0</v>
      </c>
      <c r="AI87" s="7"/>
      <c r="AJ87" s="3"/>
      <c r="AK87" s="8"/>
      <c r="AL87" s="2" t="str">
        <f t="shared" si="1"/>
        <v>Abrir WhatsApp</v>
      </c>
      <c r="AM87" s="2" t="s">
        <v>1003</v>
      </c>
      <c r="AN87" s="2" t="s">
        <v>1004</v>
      </c>
      <c r="AO87" s="2" t="s">
        <v>1005</v>
      </c>
      <c r="AP87" s="2"/>
    </row>
    <row r="88" spans="1:42" ht="62.5" x14ac:dyDescent="0.35">
      <c r="A88" s="2">
        <v>87</v>
      </c>
      <c r="B88" s="2" t="s">
        <v>42</v>
      </c>
      <c r="C88" s="2">
        <v>4.5</v>
      </c>
      <c r="D88" s="3" t="s">
        <v>43</v>
      </c>
      <c r="E88" s="3" t="s">
        <v>44</v>
      </c>
      <c r="F88" s="3" t="s">
        <v>45</v>
      </c>
      <c r="G88" s="2" t="s">
        <v>126</v>
      </c>
      <c r="H88" s="2" t="s">
        <v>790</v>
      </c>
      <c r="I88" s="2" t="s">
        <v>790</v>
      </c>
      <c r="J88" s="2" t="s">
        <v>1006</v>
      </c>
      <c r="K88" s="2" t="s">
        <v>1007</v>
      </c>
      <c r="L88" s="3"/>
      <c r="M88" s="3"/>
      <c r="N88" s="2" t="s">
        <v>1008</v>
      </c>
      <c r="O88" s="2"/>
      <c r="P88" s="2"/>
      <c r="Q88" s="2"/>
      <c r="R88" s="2"/>
      <c r="S88" s="4" t="s">
        <v>1009</v>
      </c>
      <c r="T88" s="2"/>
      <c r="U88" s="2"/>
      <c r="V88" s="2"/>
      <c r="W88" s="2"/>
      <c r="X88" s="5"/>
      <c r="Y88" s="2"/>
      <c r="Z88" s="5"/>
      <c r="AA88" s="2"/>
      <c r="AB88" s="2"/>
      <c r="AC88" s="5"/>
      <c r="AD88" s="5" t="s">
        <v>1010</v>
      </c>
      <c r="AE88" s="3"/>
      <c r="AF88" s="6"/>
      <c r="AG88" s="7"/>
      <c r="AH88" s="2">
        <v>0</v>
      </c>
      <c r="AI88" s="7"/>
      <c r="AJ88" s="3"/>
      <c r="AK88" s="8"/>
      <c r="AL88" s="2" t="str">
        <f t="shared" si="1"/>
        <v/>
      </c>
      <c r="AM88" s="2"/>
      <c r="AN88" s="2" t="s">
        <v>1011</v>
      </c>
      <c r="AO88" s="2" t="s">
        <v>1012</v>
      </c>
      <c r="AP88" s="2"/>
    </row>
    <row r="89" spans="1:42" ht="75" x14ac:dyDescent="0.35">
      <c r="A89" s="2">
        <v>88</v>
      </c>
      <c r="B89" s="2" t="s">
        <v>42</v>
      </c>
      <c r="C89" s="2">
        <v>4.5</v>
      </c>
      <c r="D89" s="3" t="s">
        <v>43</v>
      </c>
      <c r="E89" s="3" t="s">
        <v>44</v>
      </c>
      <c r="F89" s="3" t="s">
        <v>45</v>
      </c>
      <c r="G89" s="2" t="s">
        <v>126</v>
      </c>
      <c r="H89" s="2" t="s">
        <v>1013</v>
      </c>
      <c r="I89" s="2" t="s">
        <v>1013</v>
      </c>
      <c r="J89" s="2" t="s">
        <v>1014</v>
      </c>
      <c r="K89" s="2" t="s">
        <v>1007</v>
      </c>
      <c r="L89" s="3"/>
      <c r="M89" s="3"/>
      <c r="N89" s="2"/>
      <c r="O89" s="2"/>
      <c r="P89" s="2"/>
      <c r="Q89" s="2"/>
      <c r="R89" s="2"/>
      <c r="S89" s="4" t="s">
        <v>1009</v>
      </c>
      <c r="T89" s="2"/>
      <c r="U89" s="2"/>
      <c r="V89" s="2"/>
      <c r="W89" s="2"/>
      <c r="X89" s="5"/>
      <c r="Y89" s="2"/>
      <c r="Z89" s="5"/>
      <c r="AA89" s="2"/>
      <c r="AB89" s="2"/>
      <c r="AC89" s="5"/>
      <c r="AD89" s="5" t="s">
        <v>1015</v>
      </c>
      <c r="AE89" s="3"/>
      <c r="AF89" s="6"/>
      <c r="AG89" s="7"/>
      <c r="AH89" s="2">
        <v>0</v>
      </c>
      <c r="AI89" s="7"/>
      <c r="AJ89" s="3"/>
      <c r="AK89" s="8"/>
      <c r="AL89" s="2" t="str">
        <f t="shared" si="1"/>
        <v/>
      </c>
      <c r="AM89" s="2"/>
      <c r="AN89" s="2" t="s">
        <v>1016</v>
      </c>
      <c r="AO89" s="2" t="s">
        <v>1009</v>
      </c>
      <c r="AP89" s="2"/>
    </row>
    <row r="90" spans="1:42" x14ac:dyDescent="0.35">
      <c r="A90" s="2">
        <v>89</v>
      </c>
      <c r="B90" s="2" t="s">
        <v>42</v>
      </c>
      <c r="C90" s="2">
        <v>4.5</v>
      </c>
      <c r="D90" s="3" t="s">
        <v>43</v>
      </c>
      <c r="E90" s="3" t="s">
        <v>44</v>
      </c>
      <c r="F90" s="3" t="s">
        <v>45</v>
      </c>
      <c r="G90" s="2" t="s">
        <v>126</v>
      </c>
      <c r="H90" s="2" t="s">
        <v>232</v>
      </c>
      <c r="I90" s="2" t="s">
        <v>232</v>
      </c>
      <c r="J90" s="2" t="s">
        <v>1017</v>
      </c>
      <c r="K90" s="2" t="s">
        <v>234</v>
      </c>
      <c r="L90" s="3"/>
      <c r="M90" s="3"/>
      <c r="N90" s="2" t="s">
        <v>1018</v>
      </c>
      <c r="O90" s="2" t="s">
        <v>1019</v>
      </c>
      <c r="P90" s="2"/>
      <c r="Q90" s="2" t="s">
        <v>1020</v>
      </c>
      <c r="R90" s="2"/>
      <c r="S90" s="2"/>
      <c r="T90" s="2"/>
      <c r="U90" s="2"/>
      <c r="V90" s="2"/>
      <c r="W90" s="2"/>
      <c r="X90" s="5"/>
      <c r="Y90" s="2"/>
      <c r="Z90" s="5"/>
      <c r="AA90" s="2"/>
      <c r="AB90" s="2"/>
      <c r="AC90" s="5"/>
      <c r="AD90" s="5" t="s">
        <v>1021</v>
      </c>
      <c r="AE90" s="3"/>
      <c r="AF90" s="6"/>
      <c r="AG90" s="7"/>
      <c r="AH90" s="2">
        <v>0</v>
      </c>
      <c r="AI90" s="7"/>
      <c r="AJ90" s="3"/>
      <c r="AK90" s="8"/>
      <c r="AL90" s="2" t="str">
        <f t="shared" si="1"/>
        <v>Abrir WhatsApp</v>
      </c>
      <c r="AM90" s="2" t="s">
        <v>238</v>
      </c>
      <c r="AN90" s="2" t="s">
        <v>1022</v>
      </c>
      <c r="AO90" s="2" t="s">
        <v>1023</v>
      </c>
      <c r="AP90" s="2"/>
    </row>
    <row r="91" spans="1:42" ht="87.5" x14ac:dyDescent="0.35">
      <c r="A91" s="2">
        <v>90</v>
      </c>
      <c r="B91" s="2" t="s">
        <v>42</v>
      </c>
      <c r="C91" s="2">
        <v>4.5</v>
      </c>
      <c r="D91" s="3" t="s">
        <v>43</v>
      </c>
      <c r="E91" s="3" t="s">
        <v>44</v>
      </c>
      <c r="F91" s="3" t="s">
        <v>45</v>
      </c>
      <c r="G91" s="2" t="s">
        <v>126</v>
      </c>
      <c r="H91" s="2" t="s">
        <v>126</v>
      </c>
      <c r="I91" s="2" t="s">
        <v>126</v>
      </c>
      <c r="J91" s="2" t="s">
        <v>1024</v>
      </c>
      <c r="K91" s="2" t="s">
        <v>1025</v>
      </c>
      <c r="L91" s="3"/>
      <c r="M91" s="3"/>
      <c r="N91" s="2" t="s">
        <v>244</v>
      </c>
      <c r="O91" s="2"/>
      <c r="P91" s="2"/>
      <c r="Q91" s="2"/>
      <c r="R91" s="2"/>
      <c r="S91" s="2"/>
      <c r="T91" s="2"/>
      <c r="U91" s="2"/>
      <c r="V91" s="2"/>
      <c r="W91" s="2"/>
      <c r="X91" s="5"/>
      <c r="Y91" s="2"/>
      <c r="Z91" s="5"/>
      <c r="AA91" s="2"/>
      <c r="AB91" s="2"/>
      <c r="AC91" s="5"/>
      <c r="AD91" s="5" t="s">
        <v>1026</v>
      </c>
      <c r="AE91" s="3"/>
      <c r="AF91" s="6"/>
      <c r="AG91" s="7"/>
      <c r="AH91" s="2">
        <v>0</v>
      </c>
      <c r="AI91" s="7"/>
      <c r="AJ91" s="3"/>
      <c r="AK91" s="8"/>
      <c r="AL91" s="2" t="str">
        <f t="shared" si="1"/>
        <v/>
      </c>
      <c r="AM91" s="2"/>
      <c r="AN91" s="2" t="s">
        <v>1027</v>
      </c>
      <c r="AO91" s="2" t="s">
        <v>1028</v>
      </c>
      <c r="AP91" s="2"/>
    </row>
    <row r="92" spans="1:42" ht="25" x14ac:dyDescent="0.35">
      <c r="A92" s="2">
        <v>91</v>
      </c>
      <c r="B92" s="2" t="s">
        <v>42</v>
      </c>
      <c r="C92" s="2">
        <v>4.5</v>
      </c>
      <c r="D92" s="3" t="s">
        <v>43</v>
      </c>
      <c r="E92" s="3" t="s">
        <v>44</v>
      </c>
      <c r="F92" s="3" t="s">
        <v>45</v>
      </c>
      <c r="G92" s="2" t="s">
        <v>126</v>
      </c>
      <c r="H92" s="2" t="s">
        <v>232</v>
      </c>
      <c r="I92" s="2" t="s">
        <v>1029</v>
      </c>
      <c r="J92" s="2" t="s">
        <v>1030</v>
      </c>
      <c r="K92" s="2" t="s">
        <v>234</v>
      </c>
      <c r="L92" s="3"/>
      <c r="M92" s="3"/>
      <c r="N92" s="2" t="s">
        <v>1031</v>
      </c>
      <c r="O92" s="2" t="s">
        <v>1032</v>
      </c>
      <c r="P92" s="2"/>
      <c r="Q92" s="2" t="s">
        <v>1020</v>
      </c>
      <c r="R92" s="2"/>
      <c r="S92" s="2"/>
      <c r="T92" s="2"/>
      <c r="U92" s="2"/>
      <c r="V92" s="2"/>
      <c r="W92" s="2"/>
      <c r="X92" s="5"/>
      <c r="Y92" s="2"/>
      <c r="Z92" s="5"/>
      <c r="AA92" s="2"/>
      <c r="AB92" s="2"/>
      <c r="AC92" s="5"/>
      <c r="AD92" s="5" t="s">
        <v>1033</v>
      </c>
      <c r="AE92" s="3"/>
      <c r="AF92" s="6"/>
      <c r="AG92" s="7"/>
      <c r="AH92" s="2">
        <v>0</v>
      </c>
      <c r="AI92" s="7"/>
      <c r="AJ92" s="3"/>
      <c r="AK92" s="8"/>
      <c r="AL92" s="2" t="str">
        <f t="shared" si="1"/>
        <v>Abrir WhatsApp</v>
      </c>
      <c r="AM92" s="2" t="s">
        <v>238</v>
      </c>
      <c r="AN92" s="2" t="s">
        <v>1034</v>
      </c>
      <c r="AO92" s="2" t="s">
        <v>1035</v>
      </c>
      <c r="AP92" s="2"/>
    </row>
    <row r="93" spans="1:42" ht="37.5" x14ac:dyDescent="0.35">
      <c r="A93" s="2">
        <v>92</v>
      </c>
      <c r="B93" s="2" t="s">
        <v>42</v>
      </c>
      <c r="C93" s="2">
        <v>4.5</v>
      </c>
      <c r="D93" s="3" t="s">
        <v>43</v>
      </c>
      <c r="E93" s="3" t="s">
        <v>44</v>
      </c>
      <c r="F93" s="3" t="s">
        <v>679</v>
      </c>
      <c r="G93" s="2" t="s">
        <v>107</v>
      </c>
      <c r="H93" s="2" t="s">
        <v>1036</v>
      </c>
      <c r="I93" s="2" t="s">
        <v>1036</v>
      </c>
      <c r="J93" s="2" t="s">
        <v>1037</v>
      </c>
      <c r="K93" s="2"/>
      <c r="L93" s="3"/>
      <c r="M93" s="3"/>
      <c r="N93" s="2" t="s">
        <v>1038</v>
      </c>
      <c r="O93" s="2" t="s">
        <v>1039</v>
      </c>
      <c r="P93" s="2"/>
      <c r="Q93" s="2"/>
      <c r="R93" s="2"/>
      <c r="S93" s="2"/>
      <c r="T93" s="2"/>
      <c r="U93" s="2">
        <v>2</v>
      </c>
      <c r="V93" s="2">
        <v>4</v>
      </c>
      <c r="W93" s="2"/>
      <c r="X93" s="5"/>
      <c r="Y93" s="2"/>
      <c r="Z93" s="5"/>
      <c r="AA93" s="2">
        <v>250</v>
      </c>
      <c r="AB93" s="2"/>
      <c r="AC93" s="5" t="s">
        <v>1040</v>
      </c>
      <c r="AD93" s="5" t="s">
        <v>1041</v>
      </c>
      <c r="AE93" s="3"/>
      <c r="AF93" s="6"/>
      <c r="AG93" s="7"/>
      <c r="AH93" s="2">
        <v>0</v>
      </c>
      <c r="AI93" s="7"/>
      <c r="AJ93" s="3"/>
      <c r="AK93" s="8"/>
      <c r="AL93" s="2" t="str">
        <f t="shared" si="1"/>
        <v>Abrir WhatsApp</v>
      </c>
      <c r="AM93" s="2" t="s">
        <v>1042</v>
      </c>
      <c r="AN93" s="2" t="s">
        <v>1043</v>
      </c>
      <c r="AO93" s="2" t="s">
        <v>1044</v>
      </c>
      <c r="AP93" s="2"/>
    </row>
    <row r="94" spans="1:42" ht="87.5" x14ac:dyDescent="0.35">
      <c r="A94" s="2">
        <v>93</v>
      </c>
      <c r="B94" s="2" t="s">
        <v>42</v>
      </c>
      <c r="C94" s="2">
        <v>4.5</v>
      </c>
      <c r="D94" s="3" t="s">
        <v>43</v>
      </c>
      <c r="E94" s="3" t="s">
        <v>44</v>
      </c>
      <c r="F94" s="3" t="s">
        <v>679</v>
      </c>
      <c r="G94" s="2" t="s">
        <v>107</v>
      </c>
      <c r="H94" s="2" t="s">
        <v>107</v>
      </c>
      <c r="I94" s="2" t="s">
        <v>107</v>
      </c>
      <c r="J94" s="2" t="s">
        <v>1045</v>
      </c>
      <c r="K94" s="2"/>
      <c r="L94" s="3"/>
      <c r="M94" s="3"/>
      <c r="N94" s="2" t="s">
        <v>1046</v>
      </c>
      <c r="O94" s="2" t="s">
        <v>1047</v>
      </c>
      <c r="P94" s="2"/>
      <c r="Q94" s="2" t="s">
        <v>1048</v>
      </c>
      <c r="R94" s="2" t="s">
        <v>1049</v>
      </c>
      <c r="S94" s="4" t="s">
        <v>1050</v>
      </c>
      <c r="T94" s="2"/>
      <c r="U94" s="2">
        <v>4.5999999999999996</v>
      </c>
      <c r="V94" s="2">
        <v>45</v>
      </c>
      <c r="W94" s="2"/>
      <c r="X94" s="5" t="s">
        <v>1051</v>
      </c>
      <c r="Y94" s="2" t="s">
        <v>66</v>
      </c>
      <c r="Z94" s="5" t="s">
        <v>1052</v>
      </c>
      <c r="AA94" s="2">
        <v>796</v>
      </c>
      <c r="AB94" s="2"/>
      <c r="AC94" s="5" t="s">
        <v>1053</v>
      </c>
      <c r="AD94" s="5" t="s">
        <v>1054</v>
      </c>
      <c r="AE94" s="3"/>
      <c r="AF94" s="6"/>
      <c r="AG94" s="7"/>
      <c r="AH94" s="2">
        <v>0</v>
      </c>
      <c r="AI94" s="7"/>
      <c r="AJ94" s="3"/>
      <c r="AK94" s="8"/>
      <c r="AL94" s="2" t="str">
        <f t="shared" si="1"/>
        <v>Abrir WhatsApp</v>
      </c>
      <c r="AM94" s="2" t="s">
        <v>1055</v>
      </c>
      <c r="AN94" s="2" t="s">
        <v>1056</v>
      </c>
      <c r="AO94" s="2" t="s">
        <v>1057</v>
      </c>
      <c r="AP94" s="2"/>
    </row>
    <row r="95" spans="1:42" ht="75" x14ac:dyDescent="0.35">
      <c r="A95" s="2">
        <v>94</v>
      </c>
      <c r="B95" s="2" t="s">
        <v>42</v>
      </c>
      <c r="C95" s="2">
        <v>4.4000000000000004</v>
      </c>
      <c r="D95" s="3" t="s">
        <v>43</v>
      </c>
      <c r="E95" s="3" t="s">
        <v>44</v>
      </c>
      <c r="F95" s="3" t="s">
        <v>679</v>
      </c>
      <c r="G95" s="2" t="s">
        <v>126</v>
      </c>
      <c r="H95" s="2" t="s">
        <v>126</v>
      </c>
      <c r="I95" s="2" t="s">
        <v>126</v>
      </c>
      <c r="J95" s="2" t="s">
        <v>1058</v>
      </c>
      <c r="K95" s="2"/>
      <c r="L95" s="3"/>
      <c r="M95" s="3"/>
      <c r="N95" s="2" t="s">
        <v>1059</v>
      </c>
      <c r="O95" s="2"/>
      <c r="P95" s="2"/>
      <c r="Q95" s="2"/>
      <c r="R95" s="2"/>
      <c r="S95" s="2"/>
      <c r="T95" s="2"/>
      <c r="U95" s="2">
        <v>4.2</v>
      </c>
      <c r="V95" s="2">
        <v>21</v>
      </c>
      <c r="W95" s="2"/>
      <c r="X95" s="5" t="s">
        <v>319</v>
      </c>
      <c r="Y95" s="2" t="s">
        <v>66</v>
      </c>
      <c r="Z95" s="5" t="s">
        <v>1060</v>
      </c>
      <c r="AA95" s="2">
        <v>346</v>
      </c>
      <c r="AB95" s="2"/>
      <c r="AC95" s="5" t="s">
        <v>1061</v>
      </c>
      <c r="AD95" s="5" t="s">
        <v>1062</v>
      </c>
      <c r="AE95" s="3"/>
      <c r="AF95" s="6"/>
      <c r="AG95" s="7"/>
      <c r="AH95" s="2">
        <v>0</v>
      </c>
      <c r="AI95" s="7"/>
      <c r="AJ95" s="3"/>
      <c r="AK95" s="8"/>
      <c r="AL95" s="2" t="str">
        <f t="shared" si="1"/>
        <v/>
      </c>
      <c r="AM95" s="2"/>
      <c r="AN95" s="2" t="s">
        <v>1063</v>
      </c>
      <c r="AO95" s="2" t="s">
        <v>1064</v>
      </c>
      <c r="AP95" s="2"/>
    </row>
    <row r="96" spans="1:42" ht="50" x14ac:dyDescent="0.35">
      <c r="A96" s="2">
        <v>95</v>
      </c>
      <c r="B96" s="2" t="s">
        <v>42</v>
      </c>
      <c r="C96" s="2">
        <v>4.4000000000000004</v>
      </c>
      <c r="D96" s="3" t="s">
        <v>43</v>
      </c>
      <c r="E96" s="3" t="s">
        <v>44</v>
      </c>
      <c r="F96" s="3" t="s">
        <v>45</v>
      </c>
      <c r="G96" s="2" t="s">
        <v>207</v>
      </c>
      <c r="H96" s="2" t="s">
        <v>1065</v>
      </c>
      <c r="I96" s="2" t="s">
        <v>1066</v>
      </c>
      <c r="J96" s="2" t="s">
        <v>1067</v>
      </c>
      <c r="K96" s="2" t="s">
        <v>1068</v>
      </c>
      <c r="L96" s="3"/>
      <c r="M96" s="3"/>
      <c r="N96" s="2" t="s">
        <v>1069</v>
      </c>
      <c r="O96" s="2"/>
      <c r="P96" s="2"/>
      <c r="Q96" s="2"/>
      <c r="R96" s="2"/>
      <c r="S96" s="4" t="s">
        <v>1070</v>
      </c>
      <c r="T96" s="2"/>
      <c r="U96" s="2">
        <v>4.4000000000000004</v>
      </c>
      <c r="V96" s="2">
        <v>9</v>
      </c>
      <c r="W96" s="2"/>
      <c r="X96" s="5" t="s">
        <v>213</v>
      </c>
      <c r="Y96" s="2" t="s">
        <v>66</v>
      </c>
      <c r="Z96" s="5" t="s">
        <v>1071</v>
      </c>
      <c r="AA96" s="2">
        <v>109</v>
      </c>
      <c r="AB96" s="2"/>
      <c r="AC96" s="5" t="s">
        <v>1072</v>
      </c>
      <c r="AD96" s="5" t="s">
        <v>1073</v>
      </c>
      <c r="AE96" s="3"/>
      <c r="AF96" s="6"/>
      <c r="AG96" s="7"/>
      <c r="AH96" s="2">
        <v>0</v>
      </c>
      <c r="AI96" s="7"/>
      <c r="AJ96" s="3"/>
      <c r="AK96" s="8"/>
      <c r="AL96" s="2" t="str">
        <f t="shared" si="1"/>
        <v/>
      </c>
      <c r="AM96" s="2"/>
      <c r="AN96" s="2" t="s">
        <v>1074</v>
      </c>
      <c r="AO96" s="2" t="s">
        <v>1075</v>
      </c>
      <c r="AP96" s="2"/>
    </row>
    <row r="97" spans="1:42" ht="75" x14ac:dyDescent="0.35">
      <c r="A97" s="2">
        <v>96</v>
      </c>
      <c r="B97" s="2" t="s">
        <v>42</v>
      </c>
      <c r="C97" s="2">
        <v>4.4000000000000004</v>
      </c>
      <c r="D97" s="3" t="s">
        <v>43</v>
      </c>
      <c r="E97" s="3" t="s">
        <v>44</v>
      </c>
      <c r="F97" s="3" t="s">
        <v>45</v>
      </c>
      <c r="G97" s="2" t="s">
        <v>207</v>
      </c>
      <c r="H97" s="2" t="s">
        <v>1076</v>
      </c>
      <c r="I97" s="2" t="s">
        <v>1076</v>
      </c>
      <c r="J97" s="2" t="s">
        <v>1077</v>
      </c>
      <c r="K97" s="2" t="s">
        <v>1078</v>
      </c>
      <c r="L97" s="3"/>
      <c r="M97" s="3"/>
      <c r="N97" s="2" t="s">
        <v>1079</v>
      </c>
      <c r="O97" s="2" t="s">
        <v>1080</v>
      </c>
      <c r="P97" s="2"/>
      <c r="Q97" s="2"/>
      <c r="R97" s="2"/>
      <c r="S97" s="2"/>
      <c r="T97" s="2"/>
      <c r="U97" s="2">
        <v>4.9000000000000004</v>
      </c>
      <c r="V97" s="2">
        <v>62</v>
      </c>
      <c r="W97" s="2"/>
      <c r="X97" s="5" t="s">
        <v>1081</v>
      </c>
      <c r="Y97" s="2" t="s">
        <v>118</v>
      </c>
      <c r="Z97" s="5" t="s">
        <v>1082</v>
      </c>
      <c r="AA97" s="2">
        <v>219</v>
      </c>
      <c r="AB97" s="2"/>
      <c r="AC97" s="5"/>
      <c r="AD97" s="5" t="s">
        <v>1083</v>
      </c>
      <c r="AE97" s="3"/>
      <c r="AF97" s="6"/>
      <c r="AG97" s="7"/>
      <c r="AH97" s="2">
        <v>0</v>
      </c>
      <c r="AI97" s="7"/>
      <c r="AJ97" s="3"/>
      <c r="AK97" s="8"/>
      <c r="AL97" s="2" t="str">
        <f t="shared" si="1"/>
        <v>Abrir WhatsApp</v>
      </c>
      <c r="AM97" s="2" t="s">
        <v>1084</v>
      </c>
      <c r="AN97" s="2" t="s">
        <v>1085</v>
      </c>
      <c r="AO97" s="2" t="s">
        <v>1086</v>
      </c>
      <c r="AP97" s="2"/>
    </row>
    <row r="98" spans="1:42" ht="75" x14ac:dyDescent="0.35">
      <c r="A98" s="2">
        <v>97</v>
      </c>
      <c r="B98" s="2" t="s">
        <v>42</v>
      </c>
      <c r="C98" s="2">
        <v>4.4000000000000004</v>
      </c>
      <c r="D98" s="3" t="s">
        <v>43</v>
      </c>
      <c r="E98" s="3" t="s">
        <v>44</v>
      </c>
      <c r="F98" s="3" t="s">
        <v>45</v>
      </c>
      <c r="G98" s="2" t="s">
        <v>207</v>
      </c>
      <c r="H98" s="2" t="s">
        <v>723</v>
      </c>
      <c r="I98" s="2" t="s">
        <v>1087</v>
      </c>
      <c r="J98" s="2" t="s">
        <v>1088</v>
      </c>
      <c r="K98" s="2" t="s">
        <v>1089</v>
      </c>
      <c r="L98" s="3"/>
      <c r="M98" s="3"/>
      <c r="N98" s="2" t="s">
        <v>1090</v>
      </c>
      <c r="O98" s="2" t="s">
        <v>1091</v>
      </c>
      <c r="P98" s="2"/>
      <c r="Q98" s="2" t="s">
        <v>1092</v>
      </c>
      <c r="R98" s="4" t="s">
        <v>1093</v>
      </c>
      <c r="S98" s="4" t="s">
        <v>1094</v>
      </c>
      <c r="T98" s="4" t="s">
        <v>1095</v>
      </c>
      <c r="U98" s="2">
        <v>4.9000000000000004</v>
      </c>
      <c r="V98" s="2">
        <v>8</v>
      </c>
      <c r="W98" s="2" t="s">
        <v>1096</v>
      </c>
      <c r="X98" s="5" t="s">
        <v>1097</v>
      </c>
      <c r="Y98" s="2" t="s">
        <v>118</v>
      </c>
      <c r="Z98" s="5" t="s">
        <v>1098</v>
      </c>
      <c r="AA98" s="2">
        <v>223</v>
      </c>
      <c r="AB98" s="2"/>
      <c r="AC98" s="5"/>
      <c r="AD98" s="5" t="s">
        <v>1099</v>
      </c>
      <c r="AE98" s="3"/>
      <c r="AF98" s="6"/>
      <c r="AG98" s="7"/>
      <c r="AH98" s="2">
        <v>0</v>
      </c>
      <c r="AI98" s="7"/>
      <c r="AJ98" s="3"/>
      <c r="AK98" s="8"/>
      <c r="AL98" s="2" t="str">
        <f t="shared" si="1"/>
        <v>Abrir WhatsApp</v>
      </c>
      <c r="AM98" s="2" t="s">
        <v>1100</v>
      </c>
      <c r="AN98" s="2" t="s">
        <v>1101</v>
      </c>
      <c r="AO98" s="2" t="s">
        <v>1102</v>
      </c>
      <c r="AP98" s="2"/>
    </row>
    <row r="99" spans="1:42" ht="37.5" x14ac:dyDescent="0.35">
      <c r="A99" s="2">
        <v>98</v>
      </c>
      <c r="B99" s="2" t="s">
        <v>42</v>
      </c>
      <c r="C99" s="2">
        <v>4.3</v>
      </c>
      <c r="D99" s="3" t="s">
        <v>43</v>
      </c>
      <c r="E99" s="3" t="s">
        <v>44</v>
      </c>
      <c r="F99" s="3" t="s">
        <v>679</v>
      </c>
      <c r="G99" s="2" t="s">
        <v>74</v>
      </c>
      <c r="H99" s="2" t="s">
        <v>591</v>
      </c>
      <c r="I99" s="2" t="s">
        <v>591</v>
      </c>
      <c r="J99" s="2" t="s">
        <v>1103</v>
      </c>
      <c r="K99" s="2"/>
      <c r="L99" s="3"/>
      <c r="M99" s="3"/>
      <c r="N99" s="2" t="s">
        <v>1104</v>
      </c>
      <c r="O99" s="2"/>
      <c r="P99" s="2"/>
      <c r="Q99" s="2" t="s">
        <v>1105</v>
      </c>
      <c r="R99" s="2"/>
      <c r="S99" s="2"/>
      <c r="T99" s="2"/>
      <c r="U99" s="2"/>
      <c r="V99" s="2"/>
      <c r="W99" s="2"/>
      <c r="X99" s="5" t="s">
        <v>1106</v>
      </c>
      <c r="Y99" s="2"/>
      <c r="Z99" s="5"/>
      <c r="AA99" s="2">
        <v>571</v>
      </c>
      <c r="AB99" s="2"/>
      <c r="AC99" s="5"/>
      <c r="AD99" s="5" t="s">
        <v>1107</v>
      </c>
      <c r="AE99" s="3"/>
      <c r="AF99" s="6"/>
      <c r="AG99" s="7"/>
      <c r="AH99" s="2">
        <v>0</v>
      </c>
      <c r="AI99" s="7"/>
      <c r="AJ99" s="3"/>
      <c r="AK99" s="8"/>
      <c r="AL99" s="2" t="str">
        <f t="shared" si="1"/>
        <v/>
      </c>
      <c r="AM99" s="2"/>
      <c r="AN99" s="2" t="s">
        <v>1108</v>
      </c>
      <c r="AO99" s="2" t="s">
        <v>1109</v>
      </c>
      <c r="AP99" s="2"/>
    </row>
    <row r="100" spans="1:42" ht="50" x14ac:dyDescent="0.35">
      <c r="A100" s="2">
        <v>99</v>
      </c>
      <c r="B100" s="2" t="s">
        <v>42</v>
      </c>
      <c r="C100" s="2">
        <v>4.3</v>
      </c>
      <c r="D100" s="3" t="s">
        <v>43</v>
      </c>
      <c r="E100" s="3" t="s">
        <v>44</v>
      </c>
      <c r="F100" s="3" t="s">
        <v>45</v>
      </c>
      <c r="G100" s="2" t="s">
        <v>207</v>
      </c>
      <c r="H100" s="2" t="s">
        <v>1065</v>
      </c>
      <c r="I100" s="2" t="s">
        <v>1065</v>
      </c>
      <c r="J100" s="2" t="s">
        <v>1110</v>
      </c>
      <c r="K100" s="2" t="s">
        <v>1089</v>
      </c>
      <c r="L100" s="3"/>
      <c r="M100" s="3"/>
      <c r="N100" s="2" t="s">
        <v>1111</v>
      </c>
      <c r="O100" s="2" t="s">
        <v>1112</v>
      </c>
      <c r="P100" s="2"/>
      <c r="Q100" s="2" t="s">
        <v>1113</v>
      </c>
      <c r="R100" s="4" t="s">
        <v>1114</v>
      </c>
      <c r="S100" s="4" t="s">
        <v>1115</v>
      </c>
      <c r="T100" s="4" t="s">
        <v>1116</v>
      </c>
      <c r="U100" s="2">
        <v>4.5999999999999996</v>
      </c>
      <c r="V100" s="2">
        <v>18</v>
      </c>
      <c r="W100" s="2" t="s">
        <v>1117</v>
      </c>
      <c r="X100" s="5" t="s">
        <v>1118</v>
      </c>
      <c r="Y100" s="2" t="s">
        <v>66</v>
      </c>
      <c r="Z100" s="5" t="s">
        <v>1119</v>
      </c>
      <c r="AA100" s="2">
        <v>76</v>
      </c>
      <c r="AB100" s="2" t="s">
        <v>1120</v>
      </c>
      <c r="AC100" s="5" t="s">
        <v>1121</v>
      </c>
      <c r="AD100" s="5" t="s">
        <v>1122</v>
      </c>
      <c r="AE100" s="3"/>
      <c r="AF100" s="6"/>
      <c r="AG100" s="7"/>
      <c r="AH100" s="2">
        <v>0</v>
      </c>
      <c r="AI100" s="7"/>
      <c r="AJ100" s="3"/>
      <c r="AK100" s="8"/>
      <c r="AL100" s="2" t="str">
        <f t="shared" si="1"/>
        <v>Abrir WhatsApp</v>
      </c>
      <c r="AM100" s="2" t="s">
        <v>1123</v>
      </c>
      <c r="AN100" s="2" t="s">
        <v>1124</v>
      </c>
      <c r="AO100" s="2" t="s">
        <v>1125</v>
      </c>
      <c r="AP100" s="2"/>
    </row>
    <row r="101" spans="1:42" ht="87.5" x14ac:dyDescent="0.35">
      <c r="A101" s="2">
        <v>100</v>
      </c>
      <c r="B101" s="2" t="s">
        <v>42</v>
      </c>
      <c r="C101" s="2">
        <v>4.3</v>
      </c>
      <c r="D101" s="3" t="s">
        <v>43</v>
      </c>
      <c r="E101" s="3" t="s">
        <v>44</v>
      </c>
      <c r="F101" s="3" t="s">
        <v>45</v>
      </c>
      <c r="G101" s="2" t="s">
        <v>393</v>
      </c>
      <c r="H101" s="2" t="s">
        <v>964</v>
      </c>
      <c r="I101" s="2" t="s">
        <v>964</v>
      </c>
      <c r="J101" s="2" t="s">
        <v>1126</v>
      </c>
      <c r="K101" s="2" t="s">
        <v>1127</v>
      </c>
      <c r="L101" s="3"/>
      <c r="M101" s="3"/>
      <c r="N101" s="2" t="s">
        <v>1128</v>
      </c>
      <c r="O101" s="2" t="s">
        <v>1129</v>
      </c>
      <c r="P101" s="2"/>
      <c r="Q101" s="2" t="s">
        <v>1130</v>
      </c>
      <c r="R101" s="2" t="s">
        <v>1131</v>
      </c>
      <c r="S101" s="2"/>
      <c r="T101" s="2"/>
      <c r="U101" s="2" t="s">
        <v>1132</v>
      </c>
      <c r="V101" s="2">
        <v>3</v>
      </c>
      <c r="W101" s="2"/>
      <c r="X101" s="5"/>
      <c r="Y101" s="2" t="s">
        <v>66</v>
      </c>
      <c r="Z101" s="5" t="s">
        <v>1133</v>
      </c>
      <c r="AA101" s="2">
        <v>207</v>
      </c>
      <c r="AB101" s="2" t="s">
        <v>1134</v>
      </c>
      <c r="AC101" s="5" t="s">
        <v>1135</v>
      </c>
      <c r="AD101" s="5" t="s">
        <v>1136</v>
      </c>
      <c r="AE101" s="3"/>
      <c r="AF101" s="6"/>
      <c r="AG101" s="7"/>
      <c r="AH101" s="2">
        <v>0</v>
      </c>
      <c r="AI101" s="7"/>
      <c r="AJ101" s="3"/>
      <c r="AK101" s="8"/>
      <c r="AL101" s="2" t="str">
        <f t="shared" si="1"/>
        <v>Abrir WhatsApp</v>
      </c>
      <c r="AM101" s="2"/>
      <c r="AN101" s="2" t="s">
        <v>1137</v>
      </c>
      <c r="AO101" s="2" t="s">
        <v>1138</v>
      </c>
      <c r="AP101" s="2"/>
    </row>
    <row r="102" spans="1:42" ht="37.5" x14ac:dyDescent="0.35">
      <c r="A102" s="2">
        <v>101</v>
      </c>
      <c r="B102" s="2" t="s">
        <v>42</v>
      </c>
      <c r="C102" s="2">
        <v>4.2</v>
      </c>
      <c r="D102" s="3" t="s">
        <v>43</v>
      </c>
      <c r="E102" s="3" t="s">
        <v>44</v>
      </c>
      <c r="F102" s="3" t="s">
        <v>45</v>
      </c>
      <c r="G102" s="2" t="s">
        <v>207</v>
      </c>
      <c r="H102" s="2" t="s">
        <v>1139</v>
      </c>
      <c r="I102" s="2" t="s">
        <v>1140</v>
      </c>
      <c r="J102" s="2" t="s">
        <v>1141</v>
      </c>
      <c r="K102" s="2" t="s">
        <v>1142</v>
      </c>
      <c r="L102" s="3"/>
      <c r="M102" s="3"/>
      <c r="N102" s="2" t="s">
        <v>1143</v>
      </c>
      <c r="O102" s="2"/>
      <c r="P102" s="2"/>
      <c r="Q102" s="2"/>
      <c r="R102" s="2"/>
      <c r="S102" s="4" t="s">
        <v>1144</v>
      </c>
      <c r="T102" s="2"/>
      <c r="U102" s="2"/>
      <c r="V102" s="2"/>
      <c r="W102" s="2"/>
      <c r="X102" s="5"/>
      <c r="Y102" s="2"/>
      <c r="Z102" s="5"/>
      <c r="AA102" s="2">
        <v>182</v>
      </c>
      <c r="AB102" s="2"/>
      <c r="AC102" s="5"/>
      <c r="AD102" s="5" t="s">
        <v>1145</v>
      </c>
      <c r="AE102" s="3"/>
      <c r="AF102" s="6"/>
      <c r="AG102" s="7"/>
      <c r="AH102" s="2">
        <v>0</v>
      </c>
      <c r="AI102" s="7"/>
      <c r="AJ102" s="3"/>
      <c r="AK102" s="8"/>
      <c r="AL102" s="2" t="str">
        <f t="shared" si="1"/>
        <v/>
      </c>
      <c r="AM102" s="2"/>
      <c r="AN102" s="2" t="s">
        <v>1146</v>
      </c>
      <c r="AO102" s="2" t="s">
        <v>1147</v>
      </c>
      <c r="AP102" s="2"/>
    </row>
    <row r="103" spans="1:42" ht="25" x14ac:dyDescent="0.35">
      <c r="A103" s="2">
        <v>102</v>
      </c>
      <c r="B103" s="2" t="s">
        <v>42</v>
      </c>
      <c r="C103" s="2">
        <v>4.2</v>
      </c>
      <c r="D103" s="3" t="s">
        <v>43</v>
      </c>
      <c r="E103" s="3" t="s">
        <v>44</v>
      </c>
      <c r="F103" s="3" t="s">
        <v>45</v>
      </c>
      <c r="G103" s="2" t="s">
        <v>991</v>
      </c>
      <c r="H103" s="2" t="s">
        <v>1148</v>
      </c>
      <c r="I103" s="2" t="s">
        <v>1148</v>
      </c>
      <c r="J103" s="2" t="s">
        <v>1149</v>
      </c>
      <c r="K103" s="2" t="s">
        <v>1150</v>
      </c>
      <c r="L103" s="3"/>
      <c r="M103" s="3"/>
      <c r="N103" s="2" t="s">
        <v>1151</v>
      </c>
      <c r="O103" s="2"/>
      <c r="P103" s="2"/>
      <c r="Q103" s="2" t="s">
        <v>1152</v>
      </c>
      <c r="R103" s="2"/>
      <c r="S103" s="4" t="s">
        <v>1153</v>
      </c>
      <c r="T103" s="2"/>
      <c r="U103" s="2">
        <v>1</v>
      </c>
      <c r="V103" s="2">
        <v>1</v>
      </c>
      <c r="W103" s="2"/>
      <c r="X103" s="5"/>
      <c r="Y103" s="2" t="s">
        <v>118</v>
      </c>
      <c r="Z103" s="5" t="s">
        <v>1154</v>
      </c>
      <c r="AA103" s="2">
        <v>52</v>
      </c>
      <c r="AB103" s="2"/>
      <c r="AC103" s="5"/>
      <c r="AD103" s="5" t="s">
        <v>1155</v>
      </c>
      <c r="AE103" s="3"/>
      <c r="AF103" s="6"/>
      <c r="AG103" s="7"/>
      <c r="AH103" s="2">
        <v>0</v>
      </c>
      <c r="AI103" s="7"/>
      <c r="AJ103" s="3"/>
      <c r="AK103" s="8"/>
      <c r="AL103" s="2" t="str">
        <f t="shared" si="1"/>
        <v/>
      </c>
      <c r="AM103" s="2" t="s">
        <v>1156</v>
      </c>
      <c r="AN103" s="2" t="s">
        <v>1157</v>
      </c>
      <c r="AO103" s="2" t="s">
        <v>1158</v>
      </c>
      <c r="AP103" s="2"/>
    </row>
    <row r="104" spans="1:42" ht="25" x14ac:dyDescent="0.35">
      <c r="A104" s="2">
        <v>103</v>
      </c>
      <c r="B104" s="2" t="s">
        <v>42</v>
      </c>
      <c r="C104" s="2">
        <v>4.2</v>
      </c>
      <c r="D104" s="3" t="s">
        <v>43</v>
      </c>
      <c r="E104" s="3" t="s">
        <v>44</v>
      </c>
      <c r="F104" s="3" t="s">
        <v>45</v>
      </c>
      <c r="G104" s="2" t="s">
        <v>1159</v>
      </c>
      <c r="H104" s="2" t="s">
        <v>1159</v>
      </c>
      <c r="I104" s="2" t="s">
        <v>1159</v>
      </c>
      <c r="J104" s="2" t="s">
        <v>1160</v>
      </c>
      <c r="K104" s="2" t="s">
        <v>1150</v>
      </c>
      <c r="L104" s="3"/>
      <c r="M104" s="3"/>
      <c r="N104" s="2" t="s">
        <v>1161</v>
      </c>
      <c r="O104" s="2"/>
      <c r="P104" s="2"/>
      <c r="Q104" s="2" t="s">
        <v>1162</v>
      </c>
      <c r="R104" s="2"/>
      <c r="S104" s="2"/>
      <c r="T104" s="2"/>
      <c r="U104" s="2">
        <v>3</v>
      </c>
      <c r="V104" s="2">
        <v>1</v>
      </c>
      <c r="W104" s="2"/>
      <c r="X104" s="5"/>
      <c r="Y104" s="2" t="s">
        <v>118</v>
      </c>
      <c r="Z104" s="5" t="s">
        <v>1163</v>
      </c>
      <c r="AA104" s="2">
        <v>46</v>
      </c>
      <c r="AB104" s="2"/>
      <c r="AC104" s="5"/>
      <c r="AD104" s="5" t="s">
        <v>1164</v>
      </c>
      <c r="AE104" s="3"/>
      <c r="AF104" s="6"/>
      <c r="AG104" s="7"/>
      <c r="AH104" s="2">
        <v>0</v>
      </c>
      <c r="AI104" s="7"/>
      <c r="AJ104" s="3"/>
      <c r="AK104" s="8"/>
      <c r="AL104" s="2" t="str">
        <f t="shared" si="1"/>
        <v/>
      </c>
      <c r="AM104" s="2"/>
      <c r="AN104" s="2" t="s">
        <v>1165</v>
      </c>
      <c r="AO104" s="2" t="s">
        <v>1166</v>
      </c>
      <c r="AP104" s="2"/>
    </row>
    <row r="105" spans="1:42" ht="50" x14ac:dyDescent="0.35">
      <c r="A105" s="2">
        <v>104</v>
      </c>
      <c r="B105" s="2" t="s">
        <v>42</v>
      </c>
      <c r="C105" s="2">
        <v>4.0999999999999996</v>
      </c>
      <c r="D105" s="3" t="s">
        <v>43</v>
      </c>
      <c r="E105" s="3" t="s">
        <v>44</v>
      </c>
      <c r="F105" s="3" t="s">
        <v>679</v>
      </c>
      <c r="G105" s="2" t="s">
        <v>46</v>
      </c>
      <c r="H105" s="2" t="s">
        <v>46</v>
      </c>
      <c r="I105" s="2" t="s">
        <v>46</v>
      </c>
      <c r="J105" s="2" t="s">
        <v>1167</v>
      </c>
      <c r="K105" s="2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"/>
      <c r="Y105" s="2"/>
      <c r="Z105" s="5"/>
      <c r="AA105" s="2">
        <v>521</v>
      </c>
      <c r="AB105" s="2"/>
      <c r="AC105" s="5"/>
      <c r="AD105" s="5" t="s">
        <v>1168</v>
      </c>
      <c r="AE105" s="3"/>
      <c r="AF105" s="6"/>
      <c r="AG105" s="7"/>
      <c r="AH105" s="2">
        <v>0</v>
      </c>
      <c r="AI105" s="7"/>
      <c r="AJ105" s="3"/>
      <c r="AK105" s="8"/>
      <c r="AL105" s="2" t="str">
        <f t="shared" si="1"/>
        <v/>
      </c>
      <c r="AM105" s="2"/>
      <c r="AN105" s="2" t="s">
        <v>1169</v>
      </c>
      <c r="AO105" s="2" t="s">
        <v>1170</v>
      </c>
      <c r="AP105" s="2"/>
    </row>
    <row r="106" spans="1:42" ht="50" x14ac:dyDescent="0.35">
      <c r="A106" s="2">
        <v>105</v>
      </c>
      <c r="B106" s="2" t="s">
        <v>42</v>
      </c>
      <c r="C106" s="2">
        <v>4.0999999999999996</v>
      </c>
      <c r="D106" s="3" t="s">
        <v>43</v>
      </c>
      <c r="E106" s="3" t="s">
        <v>44</v>
      </c>
      <c r="F106" s="3" t="s">
        <v>679</v>
      </c>
      <c r="G106" s="2" t="s">
        <v>107</v>
      </c>
      <c r="H106" s="2" t="s">
        <v>107</v>
      </c>
      <c r="I106" s="2" t="s">
        <v>107</v>
      </c>
      <c r="J106" s="2" t="s">
        <v>1171</v>
      </c>
      <c r="K106" s="2"/>
      <c r="L106" s="3"/>
      <c r="M106" s="3"/>
      <c r="N106" s="2" t="s">
        <v>1172</v>
      </c>
      <c r="O106" s="2"/>
      <c r="P106" s="2"/>
      <c r="Q106" s="2"/>
      <c r="R106" s="2" t="s">
        <v>1173</v>
      </c>
      <c r="S106" s="2"/>
      <c r="T106" s="2"/>
      <c r="U106" s="2">
        <v>4.4000000000000004</v>
      </c>
      <c r="V106" s="2">
        <v>36</v>
      </c>
      <c r="W106" s="2"/>
      <c r="X106" s="5" t="s">
        <v>319</v>
      </c>
      <c r="Y106" s="2" t="s">
        <v>66</v>
      </c>
      <c r="Z106" s="5" t="s">
        <v>1174</v>
      </c>
      <c r="AA106" s="2">
        <v>640</v>
      </c>
      <c r="AB106" s="2"/>
      <c r="AC106" s="5" t="s">
        <v>1175</v>
      </c>
      <c r="AD106" s="5" t="s">
        <v>1176</v>
      </c>
      <c r="AE106" s="3"/>
      <c r="AF106" s="6"/>
      <c r="AG106" s="7"/>
      <c r="AH106" s="2">
        <v>0</v>
      </c>
      <c r="AI106" s="7"/>
      <c r="AJ106" s="3"/>
      <c r="AK106" s="8"/>
      <c r="AL106" s="2" t="str">
        <f t="shared" si="1"/>
        <v/>
      </c>
      <c r="AM106" s="2" t="s">
        <v>1177</v>
      </c>
      <c r="AN106" s="2" t="s">
        <v>1178</v>
      </c>
      <c r="AO106" s="2" t="s">
        <v>1179</v>
      </c>
      <c r="AP106" s="2"/>
    </row>
    <row r="107" spans="1:42" ht="62.5" x14ac:dyDescent="0.35">
      <c r="A107" s="2">
        <v>106</v>
      </c>
      <c r="B107" s="2" t="s">
        <v>42</v>
      </c>
      <c r="C107" s="2">
        <v>4.0999999999999996</v>
      </c>
      <c r="D107" s="3" t="s">
        <v>43</v>
      </c>
      <c r="E107" s="3" t="s">
        <v>44</v>
      </c>
      <c r="F107" s="3" t="s">
        <v>45</v>
      </c>
      <c r="G107" s="2" t="s">
        <v>207</v>
      </c>
      <c r="H107" s="2" t="s">
        <v>1180</v>
      </c>
      <c r="I107" s="2" t="s">
        <v>1180</v>
      </c>
      <c r="J107" s="2" t="s">
        <v>1181</v>
      </c>
      <c r="K107" s="2" t="s">
        <v>1182</v>
      </c>
      <c r="L107" s="3"/>
      <c r="M107" s="3"/>
      <c r="N107" s="2" t="s">
        <v>1183</v>
      </c>
      <c r="O107" s="2"/>
      <c r="P107" s="2"/>
      <c r="Q107" s="2"/>
      <c r="R107" s="2"/>
      <c r="S107" s="2"/>
      <c r="T107" s="2"/>
      <c r="U107" s="2"/>
      <c r="V107" s="2"/>
      <c r="W107" s="2"/>
      <c r="X107" s="5"/>
      <c r="Y107" s="2" t="s">
        <v>66</v>
      </c>
      <c r="Z107" s="5" t="s">
        <v>1184</v>
      </c>
      <c r="AA107" s="2">
        <v>147</v>
      </c>
      <c r="AB107" s="2"/>
      <c r="AC107" s="5"/>
      <c r="AD107" s="5" t="s">
        <v>1185</v>
      </c>
      <c r="AE107" s="3"/>
      <c r="AF107" s="6"/>
      <c r="AG107" s="7"/>
      <c r="AH107" s="2">
        <v>0</v>
      </c>
      <c r="AI107" s="7"/>
      <c r="AJ107" s="3"/>
      <c r="AK107" s="8"/>
      <c r="AL107" s="2" t="str">
        <f t="shared" si="1"/>
        <v/>
      </c>
      <c r="AM107" s="2" t="s">
        <v>1186</v>
      </c>
      <c r="AN107" s="2" t="s">
        <v>1187</v>
      </c>
      <c r="AO107" s="2" t="s">
        <v>1188</v>
      </c>
      <c r="AP107" s="2"/>
    </row>
    <row r="108" spans="1:42" ht="100" x14ac:dyDescent="0.35">
      <c r="A108" s="2">
        <v>107</v>
      </c>
      <c r="B108" s="2" t="s">
        <v>42</v>
      </c>
      <c r="C108" s="2">
        <v>4.0999999999999996</v>
      </c>
      <c r="D108" s="3" t="s">
        <v>43</v>
      </c>
      <c r="E108" s="3" t="s">
        <v>44</v>
      </c>
      <c r="F108" s="3" t="s">
        <v>45</v>
      </c>
      <c r="G108" s="2" t="s">
        <v>207</v>
      </c>
      <c r="H108" s="2" t="s">
        <v>1180</v>
      </c>
      <c r="I108" s="2" t="s">
        <v>1180</v>
      </c>
      <c r="J108" s="2" t="s">
        <v>1189</v>
      </c>
      <c r="K108" s="2" t="s">
        <v>1078</v>
      </c>
      <c r="L108" s="3"/>
      <c r="M108" s="3"/>
      <c r="N108" s="2" t="s">
        <v>1190</v>
      </c>
      <c r="O108" s="2" t="s">
        <v>1191</v>
      </c>
      <c r="P108" s="2"/>
      <c r="Q108" s="2" t="s">
        <v>1192</v>
      </c>
      <c r="R108" s="2"/>
      <c r="S108" s="4" t="s">
        <v>1193</v>
      </c>
      <c r="T108" s="2"/>
      <c r="U108" s="2">
        <v>4.9000000000000004</v>
      </c>
      <c r="V108" s="2">
        <v>52</v>
      </c>
      <c r="W108" s="2"/>
      <c r="X108" s="5" t="s">
        <v>1081</v>
      </c>
      <c r="Y108" s="2" t="s">
        <v>118</v>
      </c>
      <c r="Z108" s="5" t="s">
        <v>1194</v>
      </c>
      <c r="AA108" s="2">
        <v>151</v>
      </c>
      <c r="AB108" s="2" t="s">
        <v>1195</v>
      </c>
      <c r="AC108" s="5"/>
      <c r="AD108" s="5" t="s">
        <v>1196</v>
      </c>
      <c r="AE108" s="3"/>
      <c r="AF108" s="6"/>
      <c r="AG108" s="7"/>
      <c r="AH108" s="2">
        <v>0</v>
      </c>
      <c r="AI108" s="7"/>
      <c r="AJ108" s="3"/>
      <c r="AK108" s="8"/>
      <c r="AL108" s="2" t="str">
        <f t="shared" si="1"/>
        <v>Abrir WhatsApp</v>
      </c>
      <c r="AM108" s="2" t="s">
        <v>1197</v>
      </c>
      <c r="AN108" s="2" t="s">
        <v>1198</v>
      </c>
      <c r="AO108" s="2" t="s">
        <v>1199</v>
      </c>
      <c r="AP108" s="2"/>
    </row>
    <row r="109" spans="1:42" ht="37.5" x14ac:dyDescent="0.35">
      <c r="A109" s="2">
        <v>108</v>
      </c>
      <c r="B109" s="2" t="s">
        <v>42</v>
      </c>
      <c r="C109" s="2">
        <v>4</v>
      </c>
      <c r="D109" s="3" t="s">
        <v>43</v>
      </c>
      <c r="E109" s="3" t="s">
        <v>44</v>
      </c>
      <c r="F109" s="3" t="s">
        <v>679</v>
      </c>
      <c r="G109" s="2" t="s">
        <v>46</v>
      </c>
      <c r="H109" s="2" t="s">
        <v>161</v>
      </c>
      <c r="I109" s="2" t="s">
        <v>1200</v>
      </c>
      <c r="J109" s="2" t="s">
        <v>1201</v>
      </c>
      <c r="K109" s="2"/>
      <c r="L109" s="3"/>
      <c r="M109" s="3"/>
      <c r="N109" s="2" t="s">
        <v>1202</v>
      </c>
      <c r="O109" s="2"/>
      <c r="P109" s="2"/>
      <c r="Q109" s="2"/>
      <c r="R109" s="2"/>
      <c r="S109" s="2"/>
      <c r="T109" s="2"/>
      <c r="U109" s="2">
        <v>4.9000000000000004</v>
      </c>
      <c r="V109" s="2">
        <v>31</v>
      </c>
      <c r="W109" s="2"/>
      <c r="X109" s="5"/>
      <c r="Y109" s="2" t="s">
        <v>66</v>
      </c>
      <c r="Z109" s="5" t="s">
        <v>1203</v>
      </c>
      <c r="AA109" s="2">
        <v>504</v>
      </c>
      <c r="AB109" s="2"/>
      <c r="AC109" s="5"/>
      <c r="AD109" s="5" t="s">
        <v>1204</v>
      </c>
      <c r="AE109" s="3"/>
      <c r="AF109" s="6"/>
      <c r="AG109" s="7"/>
      <c r="AH109" s="2">
        <v>0</v>
      </c>
      <c r="AI109" s="7"/>
      <c r="AJ109" s="3"/>
      <c r="AK109" s="8"/>
      <c r="AL109" s="2" t="str">
        <f t="shared" si="1"/>
        <v/>
      </c>
      <c r="AM109" s="2"/>
      <c r="AN109" s="2" t="s">
        <v>1205</v>
      </c>
      <c r="AO109" s="2" t="s">
        <v>1206</v>
      </c>
      <c r="AP109" s="2"/>
    </row>
    <row r="110" spans="1:42" ht="50" x14ac:dyDescent="0.35">
      <c r="A110" s="2">
        <v>109</v>
      </c>
      <c r="B110" s="2" t="s">
        <v>42</v>
      </c>
      <c r="C110" s="2">
        <v>4</v>
      </c>
      <c r="D110" s="3" t="s">
        <v>43</v>
      </c>
      <c r="E110" s="3" t="s">
        <v>44</v>
      </c>
      <c r="F110" s="3" t="s">
        <v>679</v>
      </c>
      <c r="G110" s="2" t="s">
        <v>74</v>
      </c>
      <c r="H110" s="2" t="s">
        <v>591</v>
      </c>
      <c r="I110" s="2" t="s">
        <v>1207</v>
      </c>
      <c r="J110" s="2" t="s">
        <v>1208</v>
      </c>
      <c r="K110" s="2"/>
      <c r="L110" s="3"/>
      <c r="M110" s="3"/>
      <c r="N110" s="2" t="s">
        <v>1209</v>
      </c>
      <c r="O110" s="2" t="s">
        <v>1210</v>
      </c>
      <c r="P110" s="2"/>
      <c r="Q110" s="2" t="s">
        <v>1211</v>
      </c>
      <c r="R110" s="2"/>
      <c r="S110" s="2"/>
      <c r="T110" s="2"/>
      <c r="U110" s="2">
        <v>4.8</v>
      </c>
      <c r="V110" s="2">
        <v>16</v>
      </c>
      <c r="W110" s="2"/>
      <c r="X110" s="5" t="s">
        <v>224</v>
      </c>
      <c r="Y110" s="2" t="s">
        <v>66</v>
      </c>
      <c r="Z110" s="5" t="s">
        <v>717</v>
      </c>
      <c r="AA110" s="2">
        <v>509</v>
      </c>
      <c r="AB110" s="2"/>
      <c r="AC110" s="5"/>
      <c r="AD110" s="5" t="s">
        <v>1212</v>
      </c>
      <c r="AE110" s="3"/>
      <c r="AF110" s="6"/>
      <c r="AG110" s="7"/>
      <c r="AH110" s="2">
        <v>0</v>
      </c>
      <c r="AI110" s="7"/>
      <c r="AJ110" s="3"/>
      <c r="AK110" s="8"/>
      <c r="AL110" s="2" t="str">
        <f t="shared" si="1"/>
        <v>Abrir WhatsApp</v>
      </c>
      <c r="AM110" s="2"/>
      <c r="AN110" s="2" t="s">
        <v>1213</v>
      </c>
      <c r="AO110" s="2" t="s">
        <v>1214</v>
      </c>
      <c r="AP110" s="2"/>
    </row>
    <row r="111" spans="1:42" ht="37.5" x14ac:dyDescent="0.35">
      <c r="A111" s="2">
        <v>110</v>
      </c>
      <c r="B111" s="2" t="s">
        <v>42</v>
      </c>
      <c r="C111" s="2">
        <v>4</v>
      </c>
      <c r="D111" s="3" t="s">
        <v>43</v>
      </c>
      <c r="E111" s="3" t="s">
        <v>44</v>
      </c>
      <c r="F111" s="3" t="s">
        <v>45</v>
      </c>
      <c r="G111" s="2" t="s">
        <v>107</v>
      </c>
      <c r="H111" s="2" t="s">
        <v>107</v>
      </c>
      <c r="I111" s="2" t="s">
        <v>107</v>
      </c>
      <c r="J111" s="2" t="s">
        <v>1215</v>
      </c>
      <c r="K111" s="2" t="s">
        <v>908</v>
      </c>
      <c r="L111" s="3"/>
      <c r="M111" s="3"/>
      <c r="N111" s="2"/>
      <c r="O111" s="2" t="s">
        <v>1216</v>
      </c>
      <c r="P111" s="2"/>
      <c r="Q111" s="2"/>
      <c r="R111" s="2"/>
      <c r="S111" s="2"/>
      <c r="T111" s="2"/>
      <c r="U111" s="2"/>
      <c r="V111" s="2"/>
      <c r="W111" s="2"/>
      <c r="X111" s="5"/>
      <c r="Y111" s="2" t="s">
        <v>66</v>
      </c>
      <c r="Z111" s="5" t="s">
        <v>1174</v>
      </c>
      <c r="AA111" s="2"/>
      <c r="AB111" s="2"/>
      <c r="AC111" s="5"/>
      <c r="AD111" s="5" t="s">
        <v>1217</v>
      </c>
      <c r="AE111" s="3"/>
      <c r="AF111" s="6"/>
      <c r="AG111" s="7"/>
      <c r="AH111" s="2">
        <v>0</v>
      </c>
      <c r="AI111" s="7"/>
      <c r="AJ111" s="3"/>
      <c r="AK111" s="8"/>
      <c r="AL111" s="2" t="str">
        <f t="shared" si="1"/>
        <v>Abrir WhatsApp</v>
      </c>
      <c r="AM111" s="2" t="s">
        <v>1218</v>
      </c>
      <c r="AN111" s="2" t="s">
        <v>1219</v>
      </c>
      <c r="AO111" s="2" t="s">
        <v>1220</v>
      </c>
      <c r="AP111" s="2"/>
    </row>
    <row r="112" spans="1:42" x14ac:dyDescent="0.35">
      <c r="A112" s="2">
        <v>111</v>
      </c>
      <c r="B112" s="2" t="s">
        <v>42</v>
      </c>
      <c r="C112" s="2">
        <v>4</v>
      </c>
      <c r="D112" s="3" t="s">
        <v>43</v>
      </c>
      <c r="E112" s="3" t="s">
        <v>44</v>
      </c>
      <c r="F112" s="3" t="s">
        <v>45</v>
      </c>
      <c r="G112" s="2" t="s">
        <v>107</v>
      </c>
      <c r="H112" s="2" t="s">
        <v>609</v>
      </c>
      <c r="I112" s="2" t="s">
        <v>1221</v>
      </c>
      <c r="J112" s="2" t="s">
        <v>1222</v>
      </c>
      <c r="K112" s="2" t="s">
        <v>611</v>
      </c>
      <c r="L112" s="3"/>
      <c r="M112" s="3"/>
      <c r="N112" s="2" t="s">
        <v>1223</v>
      </c>
      <c r="O112" s="2" t="s">
        <v>1224</v>
      </c>
      <c r="P112" s="2"/>
      <c r="Q112" s="2"/>
      <c r="R112" s="4" t="s">
        <v>615</v>
      </c>
      <c r="S112" s="4" t="s">
        <v>1225</v>
      </c>
      <c r="T112" s="2"/>
      <c r="U112" s="2"/>
      <c r="V112" s="2"/>
      <c r="W112" s="2"/>
      <c r="X112" s="5" t="s">
        <v>319</v>
      </c>
      <c r="Y112" s="2"/>
      <c r="Z112" s="5"/>
      <c r="AA112" s="2"/>
      <c r="AB112" s="2"/>
      <c r="AC112" s="5"/>
      <c r="AD112" s="5" t="s">
        <v>1226</v>
      </c>
      <c r="AE112" s="3"/>
      <c r="AF112" s="6"/>
      <c r="AG112" s="7"/>
      <c r="AH112" s="2">
        <v>0</v>
      </c>
      <c r="AI112" s="7"/>
      <c r="AJ112" s="3"/>
      <c r="AK112" s="8"/>
      <c r="AL112" s="2" t="str">
        <f t="shared" si="1"/>
        <v>Abrir WhatsApp</v>
      </c>
      <c r="AM112" s="2" t="s">
        <v>1227</v>
      </c>
      <c r="AN112" s="2" t="s">
        <v>1228</v>
      </c>
      <c r="AO112" s="2" t="s">
        <v>1229</v>
      </c>
      <c r="AP112" s="2"/>
    </row>
    <row r="113" spans="1:42" ht="87.5" x14ac:dyDescent="0.35">
      <c r="A113" s="2">
        <v>112</v>
      </c>
      <c r="B113" s="2" t="s">
        <v>42</v>
      </c>
      <c r="C113" s="2">
        <v>4</v>
      </c>
      <c r="D113" s="3" t="s">
        <v>43</v>
      </c>
      <c r="E113" s="3" t="s">
        <v>44</v>
      </c>
      <c r="F113" s="3" t="s">
        <v>679</v>
      </c>
      <c r="G113" s="2" t="s">
        <v>107</v>
      </c>
      <c r="H113" s="2" t="s">
        <v>107</v>
      </c>
      <c r="I113" s="2" t="s">
        <v>107</v>
      </c>
      <c r="J113" s="2" t="s">
        <v>1230</v>
      </c>
      <c r="K113" s="2"/>
      <c r="L113" s="3"/>
      <c r="M113" s="3"/>
      <c r="N113" s="2" t="s">
        <v>1231</v>
      </c>
      <c r="O113" s="2"/>
      <c r="P113" s="2"/>
      <c r="Q113" s="2" t="s">
        <v>1232</v>
      </c>
      <c r="R113" s="2"/>
      <c r="S113" s="4" t="s">
        <v>1233</v>
      </c>
      <c r="T113" s="2"/>
      <c r="U113" s="2">
        <v>4.7</v>
      </c>
      <c r="V113" s="2">
        <v>32</v>
      </c>
      <c r="W113" s="2"/>
      <c r="X113" s="5" t="s">
        <v>319</v>
      </c>
      <c r="Y113" s="2" t="s">
        <v>66</v>
      </c>
      <c r="Z113" s="5" t="s">
        <v>1234</v>
      </c>
      <c r="AA113" s="2">
        <v>631</v>
      </c>
      <c r="AB113" s="2"/>
      <c r="AC113" s="5" t="s">
        <v>1235</v>
      </c>
      <c r="AD113" s="5" t="s">
        <v>1236</v>
      </c>
      <c r="AE113" s="3"/>
      <c r="AF113" s="6"/>
      <c r="AG113" s="7"/>
      <c r="AH113" s="2">
        <v>0</v>
      </c>
      <c r="AI113" s="7"/>
      <c r="AJ113" s="3"/>
      <c r="AK113" s="8"/>
      <c r="AL113" s="2" t="str">
        <f t="shared" si="1"/>
        <v/>
      </c>
      <c r="AM113" s="2" t="s">
        <v>1237</v>
      </c>
      <c r="AN113" s="2" t="s">
        <v>1238</v>
      </c>
      <c r="AO113" s="2" t="s">
        <v>1239</v>
      </c>
      <c r="AP113" s="2"/>
    </row>
    <row r="114" spans="1:42" ht="50" x14ac:dyDescent="0.35">
      <c r="A114" s="2">
        <v>113</v>
      </c>
      <c r="B114" s="2" t="s">
        <v>42</v>
      </c>
      <c r="C114" s="2">
        <v>4</v>
      </c>
      <c r="D114" s="3" t="s">
        <v>43</v>
      </c>
      <c r="E114" s="3" t="s">
        <v>44</v>
      </c>
      <c r="F114" s="3" t="s">
        <v>679</v>
      </c>
      <c r="G114" s="2" t="s">
        <v>107</v>
      </c>
      <c r="H114" s="2" t="s">
        <v>107</v>
      </c>
      <c r="I114" s="2" t="s">
        <v>1240</v>
      </c>
      <c r="J114" s="2" t="s">
        <v>1241</v>
      </c>
      <c r="K114" s="2"/>
      <c r="L114" s="3"/>
      <c r="M114" s="3"/>
      <c r="N114" s="2"/>
      <c r="O114" s="2" t="s">
        <v>1242</v>
      </c>
      <c r="P114" s="2"/>
      <c r="Q114" s="2"/>
      <c r="R114" s="2"/>
      <c r="S114" s="2"/>
      <c r="T114" s="2"/>
      <c r="U114" s="2">
        <v>4.5999999999999996</v>
      </c>
      <c r="V114" s="2">
        <v>33</v>
      </c>
      <c r="W114" s="2"/>
      <c r="X114" s="5"/>
      <c r="Y114" s="2" t="s">
        <v>66</v>
      </c>
      <c r="Z114" s="5" t="s">
        <v>1243</v>
      </c>
      <c r="AA114" s="2">
        <v>965</v>
      </c>
      <c r="AB114" s="2"/>
      <c r="AC114" s="5"/>
      <c r="AD114" s="5" t="s">
        <v>1244</v>
      </c>
      <c r="AE114" s="3"/>
      <c r="AF114" s="6"/>
      <c r="AG114" s="7"/>
      <c r="AH114" s="2">
        <v>0</v>
      </c>
      <c r="AI114" s="7"/>
      <c r="AJ114" s="3"/>
      <c r="AK114" s="8"/>
      <c r="AL114" s="2" t="str">
        <f t="shared" si="1"/>
        <v>Abrir WhatsApp</v>
      </c>
      <c r="AM114" s="2" t="s">
        <v>462</v>
      </c>
      <c r="AN114" s="2" t="s">
        <v>1245</v>
      </c>
      <c r="AO114" s="2" t="s">
        <v>1246</v>
      </c>
      <c r="AP114" s="2"/>
    </row>
    <row r="115" spans="1:42" ht="25" x14ac:dyDescent="0.35">
      <c r="A115" s="2">
        <v>114</v>
      </c>
      <c r="B115" s="2" t="s">
        <v>42</v>
      </c>
      <c r="C115" s="2">
        <v>4</v>
      </c>
      <c r="D115" s="3" t="s">
        <v>43</v>
      </c>
      <c r="E115" s="3" t="s">
        <v>44</v>
      </c>
      <c r="F115" s="3" t="s">
        <v>45</v>
      </c>
      <c r="G115" s="2" t="s">
        <v>107</v>
      </c>
      <c r="H115" s="2" t="s">
        <v>1247</v>
      </c>
      <c r="I115" s="2" t="s">
        <v>1247</v>
      </c>
      <c r="J115" s="2" t="s">
        <v>1248</v>
      </c>
      <c r="K115" s="2" t="s">
        <v>506</v>
      </c>
      <c r="L115" s="3"/>
      <c r="M115" s="3"/>
      <c r="N115" s="2" t="s">
        <v>1249</v>
      </c>
      <c r="O115" s="2" t="s">
        <v>1250</v>
      </c>
      <c r="P115" s="2"/>
      <c r="Q115" s="2" t="s">
        <v>1251</v>
      </c>
      <c r="R115" s="2" t="s">
        <v>638</v>
      </c>
      <c r="S115" s="4" t="s">
        <v>1252</v>
      </c>
      <c r="T115" s="2"/>
      <c r="U115" s="2"/>
      <c r="V115" s="2"/>
      <c r="W115" s="2"/>
      <c r="X115" s="5"/>
      <c r="Y115" s="2"/>
      <c r="Z115" s="5"/>
      <c r="AA115" s="2"/>
      <c r="AB115" s="2"/>
      <c r="AC115" s="5"/>
      <c r="AD115" s="5" t="s">
        <v>1253</v>
      </c>
      <c r="AE115" s="3"/>
      <c r="AF115" s="6"/>
      <c r="AG115" s="7"/>
      <c r="AH115" s="2">
        <v>0</v>
      </c>
      <c r="AI115" s="7"/>
      <c r="AJ115" s="3"/>
      <c r="AK115" s="8"/>
      <c r="AL115" s="2" t="str">
        <f t="shared" si="1"/>
        <v>Abrir WhatsApp</v>
      </c>
      <c r="AM115" s="2" t="s">
        <v>511</v>
      </c>
      <c r="AN115" s="2" t="s">
        <v>1254</v>
      </c>
      <c r="AO115" s="2" t="s">
        <v>1255</v>
      </c>
      <c r="AP115" s="2"/>
    </row>
    <row r="116" spans="1:42" ht="62.5" x14ac:dyDescent="0.35">
      <c r="A116" s="2">
        <v>115</v>
      </c>
      <c r="B116" s="2" t="s">
        <v>42</v>
      </c>
      <c r="C116" s="2">
        <v>4</v>
      </c>
      <c r="D116" s="3" t="s">
        <v>43</v>
      </c>
      <c r="E116" s="3" t="s">
        <v>44</v>
      </c>
      <c r="F116" s="3" t="s">
        <v>679</v>
      </c>
      <c r="G116" s="2" t="s">
        <v>107</v>
      </c>
      <c r="H116" s="2" t="s">
        <v>480</v>
      </c>
      <c r="I116" s="2" t="s">
        <v>480</v>
      </c>
      <c r="J116" s="2" t="s">
        <v>1256</v>
      </c>
      <c r="K116" s="2"/>
      <c r="L116" s="3"/>
      <c r="M116" s="3"/>
      <c r="N116" s="2" t="s">
        <v>1257</v>
      </c>
      <c r="O116" s="2"/>
      <c r="P116" s="2"/>
      <c r="Q116" s="2"/>
      <c r="R116" s="2"/>
      <c r="S116" s="2"/>
      <c r="T116" s="2"/>
      <c r="U116" s="2">
        <v>3.7</v>
      </c>
      <c r="V116" s="2">
        <v>10</v>
      </c>
      <c r="W116" s="2"/>
      <c r="X116" s="5"/>
      <c r="Y116" s="2"/>
      <c r="Z116" s="5"/>
      <c r="AA116" s="2">
        <v>123</v>
      </c>
      <c r="AB116" s="2"/>
      <c r="AC116" s="5" t="s">
        <v>1258</v>
      </c>
      <c r="AD116" s="5" t="s">
        <v>1259</v>
      </c>
      <c r="AE116" s="3"/>
      <c r="AF116" s="6"/>
      <c r="AG116" s="7"/>
      <c r="AH116" s="2">
        <v>0</v>
      </c>
      <c r="AI116" s="7"/>
      <c r="AJ116" s="3"/>
      <c r="AK116" s="8"/>
      <c r="AL116" s="2" t="str">
        <f t="shared" si="1"/>
        <v/>
      </c>
      <c r="AM116" s="2" t="s">
        <v>1042</v>
      </c>
      <c r="AN116" s="2" t="s">
        <v>1260</v>
      </c>
      <c r="AO116" s="2" t="s">
        <v>1261</v>
      </c>
      <c r="AP116" s="2"/>
    </row>
    <row r="117" spans="1:42" ht="50" x14ac:dyDescent="0.35">
      <c r="A117" s="2">
        <v>116</v>
      </c>
      <c r="B117" s="2" t="s">
        <v>42</v>
      </c>
      <c r="C117" s="2">
        <v>4</v>
      </c>
      <c r="D117" s="3" t="s">
        <v>43</v>
      </c>
      <c r="E117" s="3" t="s">
        <v>44</v>
      </c>
      <c r="F117" s="3" t="s">
        <v>45</v>
      </c>
      <c r="G117" s="2" t="s">
        <v>207</v>
      </c>
      <c r="H117" s="2" t="s">
        <v>207</v>
      </c>
      <c r="I117" s="2" t="s">
        <v>1262</v>
      </c>
      <c r="J117" s="2" t="s">
        <v>1263</v>
      </c>
      <c r="K117" s="2" t="s">
        <v>1089</v>
      </c>
      <c r="L117" s="3"/>
      <c r="M117" s="3"/>
      <c r="N117" s="2" t="s">
        <v>1264</v>
      </c>
      <c r="O117" s="2" t="s">
        <v>1265</v>
      </c>
      <c r="P117" s="2"/>
      <c r="Q117" s="2" t="s">
        <v>1266</v>
      </c>
      <c r="R117" s="4" t="s">
        <v>1267</v>
      </c>
      <c r="S117" s="4" t="s">
        <v>1268</v>
      </c>
      <c r="T117" s="4" t="s">
        <v>1269</v>
      </c>
      <c r="U117" s="2">
        <v>4.4000000000000004</v>
      </c>
      <c r="V117" s="2">
        <v>12</v>
      </c>
      <c r="W117" s="2" t="s">
        <v>1117</v>
      </c>
      <c r="X117" s="5" t="s">
        <v>1118</v>
      </c>
      <c r="Y117" s="2" t="s">
        <v>66</v>
      </c>
      <c r="Z117" s="5" t="s">
        <v>1119</v>
      </c>
      <c r="AA117" s="2">
        <v>127</v>
      </c>
      <c r="AB117" s="2" t="s">
        <v>1120</v>
      </c>
      <c r="AC117" s="5"/>
      <c r="AD117" s="5" t="s">
        <v>1270</v>
      </c>
      <c r="AE117" s="3"/>
      <c r="AF117" s="6"/>
      <c r="AG117" s="7"/>
      <c r="AH117" s="2">
        <v>0</v>
      </c>
      <c r="AI117" s="7"/>
      <c r="AJ117" s="3"/>
      <c r="AK117" s="8"/>
      <c r="AL117" s="2" t="str">
        <f t="shared" si="1"/>
        <v>Abrir WhatsApp</v>
      </c>
      <c r="AM117" s="2" t="s">
        <v>1271</v>
      </c>
      <c r="AN117" s="2" t="s">
        <v>1272</v>
      </c>
      <c r="AO117" s="2" t="s">
        <v>1273</v>
      </c>
      <c r="AP117" s="2"/>
    </row>
    <row r="118" spans="1:42" ht="37.5" x14ac:dyDescent="0.35">
      <c r="A118" s="2">
        <v>117</v>
      </c>
      <c r="B118" s="2" t="s">
        <v>42</v>
      </c>
      <c r="C118" s="2">
        <v>4</v>
      </c>
      <c r="D118" s="3" t="s">
        <v>43</v>
      </c>
      <c r="E118" s="3" t="s">
        <v>44</v>
      </c>
      <c r="F118" s="3" t="s">
        <v>45</v>
      </c>
      <c r="G118" s="2" t="s">
        <v>207</v>
      </c>
      <c r="H118" s="2" t="s">
        <v>1274</v>
      </c>
      <c r="I118" s="2" t="s">
        <v>1274</v>
      </c>
      <c r="J118" s="2" t="s">
        <v>1275</v>
      </c>
      <c r="K118" s="2" t="s">
        <v>1142</v>
      </c>
      <c r="L118" s="3"/>
      <c r="M118" s="3"/>
      <c r="N118" s="2" t="s">
        <v>1276</v>
      </c>
      <c r="O118" s="2" t="s">
        <v>1277</v>
      </c>
      <c r="P118" s="2"/>
      <c r="Q118" s="2" t="s">
        <v>1278</v>
      </c>
      <c r="R118" s="2"/>
      <c r="S118" s="4" t="s">
        <v>1279</v>
      </c>
      <c r="T118" s="2"/>
      <c r="U118" s="2">
        <v>4</v>
      </c>
      <c r="V118" s="2">
        <v>4</v>
      </c>
      <c r="W118" s="2"/>
      <c r="X118" s="5"/>
      <c r="Y118" s="2"/>
      <c r="Z118" s="5"/>
      <c r="AA118" s="2">
        <v>125</v>
      </c>
      <c r="AB118" s="2"/>
      <c r="AC118" s="5"/>
      <c r="AD118" s="5" t="s">
        <v>1280</v>
      </c>
      <c r="AE118" s="3"/>
      <c r="AF118" s="6"/>
      <c r="AG118" s="7"/>
      <c r="AH118" s="2">
        <v>0</v>
      </c>
      <c r="AI118" s="7"/>
      <c r="AJ118" s="3"/>
      <c r="AK118" s="8"/>
      <c r="AL118" s="2" t="str">
        <f t="shared" si="1"/>
        <v>Abrir WhatsApp</v>
      </c>
      <c r="AM118" s="2"/>
      <c r="AN118" s="2" t="s">
        <v>1281</v>
      </c>
      <c r="AO118" s="2" t="s">
        <v>1282</v>
      </c>
      <c r="AP118" s="2"/>
    </row>
    <row r="119" spans="1:42" ht="87.5" x14ac:dyDescent="0.35">
      <c r="A119" s="2">
        <v>118</v>
      </c>
      <c r="B119" s="2" t="s">
        <v>42</v>
      </c>
      <c r="C119" s="2">
        <v>3.9</v>
      </c>
      <c r="D119" s="3" t="s">
        <v>43</v>
      </c>
      <c r="E119" s="3" t="s">
        <v>44</v>
      </c>
      <c r="F119" s="3" t="s">
        <v>679</v>
      </c>
      <c r="G119" s="2" t="s">
        <v>126</v>
      </c>
      <c r="H119" s="2" t="s">
        <v>1283</v>
      </c>
      <c r="I119" s="2" t="s">
        <v>1283</v>
      </c>
      <c r="J119" s="2" t="s">
        <v>1284</v>
      </c>
      <c r="K119" s="2"/>
      <c r="L119" s="3"/>
      <c r="M119" s="3"/>
      <c r="N119" s="2" t="s">
        <v>1285</v>
      </c>
      <c r="O119" s="2"/>
      <c r="P119" s="2"/>
      <c r="Q119" s="2"/>
      <c r="R119" s="2"/>
      <c r="S119" s="4" t="s">
        <v>1286</v>
      </c>
      <c r="T119" s="2"/>
      <c r="U119" s="2">
        <v>3.9</v>
      </c>
      <c r="V119" s="2">
        <v>17</v>
      </c>
      <c r="W119" s="2"/>
      <c r="X119" s="5" t="s">
        <v>1287</v>
      </c>
      <c r="Y119" s="2" t="s">
        <v>66</v>
      </c>
      <c r="Z119" s="5" t="s">
        <v>1288</v>
      </c>
      <c r="AA119" s="2">
        <v>222</v>
      </c>
      <c r="AB119" s="2"/>
      <c r="AC119" s="5" t="s">
        <v>1289</v>
      </c>
      <c r="AD119" s="5" t="s">
        <v>1290</v>
      </c>
      <c r="AE119" s="3"/>
      <c r="AF119" s="6"/>
      <c r="AG119" s="7"/>
      <c r="AH119" s="2">
        <v>0</v>
      </c>
      <c r="AI119" s="7"/>
      <c r="AJ119" s="3"/>
      <c r="AK119" s="8"/>
      <c r="AL119" s="2" t="str">
        <f t="shared" si="1"/>
        <v/>
      </c>
      <c r="AM119" s="2"/>
      <c r="AN119" s="2" t="s">
        <v>1291</v>
      </c>
      <c r="AO119" s="2" t="s">
        <v>1292</v>
      </c>
      <c r="AP119" s="2"/>
    </row>
    <row r="120" spans="1:42" ht="37.5" x14ac:dyDescent="0.35">
      <c r="A120" s="2">
        <v>119</v>
      </c>
      <c r="B120" s="2" t="s">
        <v>42</v>
      </c>
      <c r="C120" s="2">
        <v>3.9</v>
      </c>
      <c r="D120" s="3" t="s">
        <v>43</v>
      </c>
      <c r="E120" s="3" t="s">
        <v>44</v>
      </c>
      <c r="F120" s="3" t="s">
        <v>679</v>
      </c>
      <c r="G120" s="2" t="s">
        <v>107</v>
      </c>
      <c r="H120" s="2" t="s">
        <v>1293</v>
      </c>
      <c r="I120" s="2" t="s">
        <v>1293</v>
      </c>
      <c r="J120" s="2" t="s">
        <v>1294</v>
      </c>
      <c r="K120" s="2"/>
      <c r="L120" s="3"/>
      <c r="M120" s="3"/>
      <c r="N120" s="2" t="s">
        <v>1295</v>
      </c>
      <c r="O120" s="2" t="s">
        <v>1296</v>
      </c>
      <c r="P120" s="2"/>
      <c r="Q120" s="2"/>
      <c r="R120" s="2"/>
      <c r="S120" s="2"/>
      <c r="T120" s="2"/>
      <c r="U120" s="2">
        <v>3</v>
      </c>
      <c r="V120" s="2">
        <v>2</v>
      </c>
      <c r="W120" s="2"/>
      <c r="X120" s="5"/>
      <c r="Y120" s="2" t="s">
        <v>66</v>
      </c>
      <c r="Z120" s="5" t="s">
        <v>1297</v>
      </c>
      <c r="AA120" s="2">
        <v>476</v>
      </c>
      <c r="AB120" s="2"/>
      <c r="AC120" s="5"/>
      <c r="AD120" s="5" t="s">
        <v>1298</v>
      </c>
      <c r="AE120" s="3"/>
      <c r="AF120" s="6"/>
      <c r="AG120" s="7"/>
      <c r="AH120" s="2">
        <v>0</v>
      </c>
      <c r="AI120" s="7"/>
      <c r="AJ120" s="3"/>
      <c r="AK120" s="8"/>
      <c r="AL120" s="2" t="str">
        <f t="shared" si="1"/>
        <v>Abrir WhatsApp</v>
      </c>
      <c r="AM120" s="2" t="s">
        <v>1042</v>
      </c>
      <c r="AN120" s="2" t="s">
        <v>1299</v>
      </c>
      <c r="AO120" s="2" t="s">
        <v>1300</v>
      </c>
      <c r="AP120" s="2"/>
    </row>
    <row r="121" spans="1:42" ht="37.5" x14ac:dyDescent="0.35">
      <c r="A121" s="2">
        <v>120</v>
      </c>
      <c r="B121" s="2" t="s">
        <v>42</v>
      </c>
      <c r="C121" s="2">
        <v>3.9</v>
      </c>
      <c r="D121" s="3" t="s">
        <v>43</v>
      </c>
      <c r="E121" s="3" t="s">
        <v>44</v>
      </c>
      <c r="F121" s="3" t="s">
        <v>679</v>
      </c>
      <c r="G121" s="2" t="s">
        <v>107</v>
      </c>
      <c r="H121" s="2" t="s">
        <v>1293</v>
      </c>
      <c r="I121" s="2" t="s">
        <v>1301</v>
      </c>
      <c r="J121" s="2" t="s">
        <v>1302</v>
      </c>
      <c r="K121" s="2"/>
      <c r="L121" s="3"/>
      <c r="M121" s="3"/>
      <c r="N121" s="2" t="s">
        <v>1303</v>
      </c>
      <c r="O121" s="2"/>
      <c r="P121" s="2"/>
      <c r="Q121" s="2"/>
      <c r="R121" s="2"/>
      <c r="S121" s="2"/>
      <c r="T121" s="2"/>
      <c r="U121" s="2">
        <v>4.5999999999999996</v>
      </c>
      <c r="V121" s="2">
        <v>8</v>
      </c>
      <c r="W121" s="2"/>
      <c r="X121" s="5"/>
      <c r="Y121" s="2" t="s">
        <v>66</v>
      </c>
      <c r="Z121" s="5" t="s">
        <v>1304</v>
      </c>
      <c r="AA121" s="2">
        <v>733</v>
      </c>
      <c r="AB121" s="2"/>
      <c r="AC121" s="5"/>
      <c r="AD121" s="5" t="s">
        <v>1305</v>
      </c>
      <c r="AE121" s="3"/>
      <c r="AF121" s="6"/>
      <c r="AG121" s="7"/>
      <c r="AH121" s="2">
        <v>0</v>
      </c>
      <c r="AI121" s="7"/>
      <c r="AJ121" s="3"/>
      <c r="AK121" s="8"/>
      <c r="AL121" s="2" t="str">
        <f t="shared" si="1"/>
        <v/>
      </c>
      <c r="AM121" s="2" t="s">
        <v>1042</v>
      </c>
      <c r="AN121" s="2" t="s">
        <v>1306</v>
      </c>
      <c r="AO121" s="2" t="s">
        <v>1307</v>
      </c>
      <c r="AP121" s="2"/>
    </row>
    <row r="122" spans="1:42" ht="62.5" x14ac:dyDescent="0.35">
      <c r="A122" s="2">
        <v>121</v>
      </c>
      <c r="B122" s="2" t="s">
        <v>42</v>
      </c>
      <c r="C122" s="2">
        <v>3.9</v>
      </c>
      <c r="D122" s="3" t="s">
        <v>43</v>
      </c>
      <c r="E122" s="3" t="s">
        <v>44</v>
      </c>
      <c r="F122" s="3" t="s">
        <v>45</v>
      </c>
      <c r="G122" s="2" t="s">
        <v>207</v>
      </c>
      <c r="H122" s="2" t="s">
        <v>1308</v>
      </c>
      <c r="I122" s="2" t="s">
        <v>1308</v>
      </c>
      <c r="J122" s="2" t="s">
        <v>1309</v>
      </c>
      <c r="K122" s="2" t="s">
        <v>1310</v>
      </c>
      <c r="L122" s="3"/>
      <c r="M122" s="3"/>
      <c r="N122" s="2" t="s">
        <v>1311</v>
      </c>
      <c r="O122" s="2"/>
      <c r="P122" s="2"/>
      <c r="Q122" s="2" t="s">
        <v>1312</v>
      </c>
      <c r="R122" s="4" t="s">
        <v>1313</v>
      </c>
      <c r="S122" s="4" t="s">
        <v>1314</v>
      </c>
      <c r="T122" s="2"/>
      <c r="U122" s="2">
        <v>3.8</v>
      </c>
      <c r="V122" s="2">
        <v>5</v>
      </c>
      <c r="W122" s="2"/>
      <c r="X122" s="5"/>
      <c r="Y122" s="2"/>
      <c r="Z122" s="5"/>
      <c r="AA122" s="2">
        <v>90</v>
      </c>
      <c r="AB122" s="2" t="s">
        <v>1315</v>
      </c>
      <c r="AC122" s="5"/>
      <c r="AD122" s="5" t="s">
        <v>1316</v>
      </c>
      <c r="AE122" s="3"/>
      <c r="AF122" s="6"/>
      <c r="AG122" s="7"/>
      <c r="AH122" s="2">
        <v>0</v>
      </c>
      <c r="AI122" s="7"/>
      <c r="AJ122" s="3"/>
      <c r="AK122" s="8"/>
      <c r="AL122" s="2" t="str">
        <f t="shared" si="1"/>
        <v/>
      </c>
      <c r="AM122" s="2" t="s">
        <v>1317</v>
      </c>
      <c r="AN122" s="2" t="s">
        <v>1318</v>
      </c>
      <c r="AO122" s="2" t="s">
        <v>1319</v>
      </c>
      <c r="AP122" s="2"/>
    </row>
    <row r="123" spans="1:42" ht="50" x14ac:dyDescent="0.35">
      <c r="A123" s="2">
        <v>122</v>
      </c>
      <c r="B123" s="2" t="s">
        <v>42</v>
      </c>
      <c r="C123" s="2">
        <v>3.9</v>
      </c>
      <c r="D123" s="3" t="s">
        <v>43</v>
      </c>
      <c r="E123" s="3" t="s">
        <v>44</v>
      </c>
      <c r="F123" s="3" t="s">
        <v>45</v>
      </c>
      <c r="G123" s="2" t="s">
        <v>393</v>
      </c>
      <c r="H123" s="2" t="s">
        <v>1320</v>
      </c>
      <c r="I123" s="2" t="s">
        <v>1320</v>
      </c>
      <c r="J123" s="2" t="s">
        <v>1321</v>
      </c>
      <c r="K123" s="2" t="s">
        <v>742</v>
      </c>
      <c r="L123" s="3"/>
      <c r="M123" s="3"/>
      <c r="N123" s="2"/>
      <c r="O123" s="2" t="s">
        <v>1322</v>
      </c>
      <c r="P123" s="2"/>
      <c r="Q123" s="2"/>
      <c r="R123" s="2"/>
      <c r="S123" s="4" t="s">
        <v>745</v>
      </c>
      <c r="T123" s="4" t="s">
        <v>746</v>
      </c>
      <c r="U123" s="2"/>
      <c r="V123" s="2"/>
      <c r="W123" s="2"/>
      <c r="X123" s="5" t="s">
        <v>747</v>
      </c>
      <c r="Y123" s="2"/>
      <c r="Z123" s="5"/>
      <c r="AA123" s="2">
        <v>237</v>
      </c>
      <c r="AB123" s="2"/>
      <c r="AC123" s="5"/>
      <c r="AD123" s="5" t="s">
        <v>1323</v>
      </c>
      <c r="AE123" s="3"/>
      <c r="AF123" s="6"/>
      <c r="AG123" s="7"/>
      <c r="AH123" s="2">
        <v>0</v>
      </c>
      <c r="AI123" s="7"/>
      <c r="AJ123" s="3"/>
      <c r="AK123" s="8"/>
      <c r="AL123" s="2" t="str">
        <f t="shared" si="1"/>
        <v>Abrir WhatsApp</v>
      </c>
      <c r="AM123" s="2" t="s">
        <v>1324</v>
      </c>
      <c r="AN123" s="2" t="s">
        <v>1325</v>
      </c>
      <c r="AO123" s="2" t="s">
        <v>1326</v>
      </c>
      <c r="AP123" s="2"/>
    </row>
    <row r="124" spans="1:42" ht="62.5" x14ac:dyDescent="0.35">
      <c r="A124" s="2">
        <v>123</v>
      </c>
      <c r="B124" s="2" t="s">
        <v>42</v>
      </c>
      <c r="C124" s="2">
        <v>3.9</v>
      </c>
      <c r="D124" s="3" t="s">
        <v>43</v>
      </c>
      <c r="E124" s="3" t="s">
        <v>44</v>
      </c>
      <c r="F124" s="3" t="s">
        <v>45</v>
      </c>
      <c r="G124" s="2" t="s">
        <v>393</v>
      </c>
      <c r="H124" s="2" t="s">
        <v>964</v>
      </c>
      <c r="I124" s="2" t="s">
        <v>964</v>
      </c>
      <c r="J124" s="2" t="s">
        <v>1327</v>
      </c>
      <c r="K124" s="2" t="s">
        <v>1328</v>
      </c>
      <c r="L124" s="3"/>
      <c r="M124" s="3"/>
      <c r="N124" s="2" t="s">
        <v>1329</v>
      </c>
      <c r="O124" s="2" t="s">
        <v>1330</v>
      </c>
      <c r="P124" s="2"/>
      <c r="Q124" s="2"/>
      <c r="R124" s="4" t="s">
        <v>1331</v>
      </c>
      <c r="S124" s="4" t="s">
        <v>1332</v>
      </c>
      <c r="T124" s="2"/>
      <c r="U124" s="2" t="s">
        <v>1333</v>
      </c>
      <c r="V124" s="2">
        <v>7</v>
      </c>
      <c r="W124" s="2" t="s">
        <v>1334</v>
      </c>
      <c r="X124" s="5"/>
      <c r="Y124" s="2" t="s">
        <v>66</v>
      </c>
      <c r="Z124" s="5" t="s">
        <v>1335</v>
      </c>
      <c r="AA124" s="2">
        <v>213</v>
      </c>
      <c r="AB124" s="2" t="s">
        <v>1336</v>
      </c>
      <c r="AC124" s="5"/>
      <c r="AD124" s="5" t="s">
        <v>1337</v>
      </c>
      <c r="AE124" s="3"/>
      <c r="AF124" s="6"/>
      <c r="AG124" s="7"/>
      <c r="AH124" s="2">
        <v>0</v>
      </c>
      <c r="AI124" s="7"/>
      <c r="AJ124" s="3"/>
      <c r="AK124" s="8"/>
      <c r="AL124" s="2" t="str">
        <f t="shared" si="1"/>
        <v>Abrir WhatsApp</v>
      </c>
      <c r="AM124" s="2" t="s">
        <v>1338</v>
      </c>
      <c r="AN124" s="2" t="s">
        <v>1339</v>
      </c>
      <c r="AO124" s="2" t="s">
        <v>1340</v>
      </c>
      <c r="AP124" s="2"/>
    </row>
    <row r="125" spans="1:42" ht="50" x14ac:dyDescent="0.35">
      <c r="A125" s="2">
        <v>124</v>
      </c>
      <c r="B125" s="2" t="s">
        <v>42</v>
      </c>
      <c r="C125" s="2">
        <v>3.9</v>
      </c>
      <c r="D125" s="3" t="s">
        <v>43</v>
      </c>
      <c r="E125" s="3" t="s">
        <v>44</v>
      </c>
      <c r="F125" s="3" t="s">
        <v>45</v>
      </c>
      <c r="G125" s="2" t="s">
        <v>393</v>
      </c>
      <c r="H125" s="2" t="s">
        <v>1341</v>
      </c>
      <c r="I125" s="2" t="s">
        <v>1341</v>
      </c>
      <c r="J125" s="2" t="s">
        <v>1342</v>
      </c>
      <c r="K125" s="2" t="s">
        <v>1343</v>
      </c>
      <c r="L125" s="3"/>
      <c r="M125" s="3"/>
      <c r="N125" s="2" t="s">
        <v>1344</v>
      </c>
      <c r="O125" s="2"/>
      <c r="P125" s="2"/>
      <c r="Q125" s="2" t="s">
        <v>1345</v>
      </c>
      <c r="R125" s="2" t="s">
        <v>1346</v>
      </c>
      <c r="S125" s="4" t="s">
        <v>1347</v>
      </c>
      <c r="T125" s="2"/>
      <c r="U125" s="2" t="s">
        <v>627</v>
      </c>
      <c r="V125" s="2">
        <v>2</v>
      </c>
      <c r="W125" s="2"/>
      <c r="X125" s="5" t="s">
        <v>319</v>
      </c>
      <c r="Y125" s="2" t="s">
        <v>66</v>
      </c>
      <c r="Z125" s="5" t="s">
        <v>1348</v>
      </c>
      <c r="AA125" s="2">
        <v>110</v>
      </c>
      <c r="AB125" s="2"/>
      <c r="AC125" s="5" t="s">
        <v>1349</v>
      </c>
      <c r="AD125" s="5" t="s">
        <v>1350</v>
      </c>
      <c r="AE125" s="3"/>
      <c r="AF125" s="6"/>
      <c r="AG125" s="7"/>
      <c r="AH125" s="2">
        <v>0</v>
      </c>
      <c r="AI125" s="7"/>
      <c r="AJ125" s="3"/>
      <c r="AK125" s="8"/>
      <c r="AL125" s="2" t="str">
        <f t="shared" si="1"/>
        <v/>
      </c>
      <c r="AM125" s="2" t="s">
        <v>1351</v>
      </c>
      <c r="AN125" s="2" t="s">
        <v>1352</v>
      </c>
      <c r="AO125" s="2" t="s">
        <v>1353</v>
      </c>
      <c r="AP125" s="2"/>
    </row>
    <row r="126" spans="1:42" ht="37.5" x14ac:dyDescent="0.35">
      <c r="A126" s="2">
        <v>125</v>
      </c>
      <c r="B126" s="2" t="s">
        <v>42</v>
      </c>
      <c r="C126" s="2">
        <v>3.9</v>
      </c>
      <c r="D126" s="3" t="s">
        <v>43</v>
      </c>
      <c r="E126" s="3" t="s">
        <v>44</v>
      </c>
      <c r="F126" s="3" t="s">
        <v>45</v>
      </c>
      <c r="G126" s="2" t="s">
        <v>991</v>
      </c>
      <c r="H126" s="2" t="s">
        <v>1354</v>
      </c>
      <c r="I126" s="2" t="s">
        <v>1354</v>
      </c>
      <c r="J126" s="2" t="s">
        <v>1355</v>
      </c>
      <c r="K126" s="2" t="s">
        <v>1356</v>
      </c>
      <c r="L126" s="3"/>
      <c r="M126" s="3"/>
      <c r="N126" s="2" t="s">
        <v>1357</v>
      </c>
      <c r="O126" s="2"/>
      <c r="P126" s="2"/>
      <c r="Q126" s="2" t="s">
        <v>1358</v>
      </c>
      <c r="R126" s="4" t="s">
        <v>1359</v>
      </c>
      <c r="S126" s="2"/>
      <c r="T126" s="2"/>
      <c r="U126" s="2">
        <v>4.7</v>
      </c>
      <c r="V126" s="2">
        <v>29</v>
      </c>
      <c r="W126" s="2"/>
      <c r="X126" s="5"/>
      <c r="Y126" s="2" t="s">
        <v>66</v>
      </c>
      <c r="Z126" s="5" t="s">
        <v>1360</v>
      </c>
      <c r="AA126" s="2">
        <v>232</v>
      </c>
      <c r="AB126" s="2" t="s">
        <v>1361</v>
      </c>
      <c r="AC126" s="5"/>
      <c r="AD126" s="5" t="s">
        <v>1362</v>
      </c>
      <c r="AE126" s="3"/>
      <c r="AF126" s="6"/>
      <c r="AG126" s="7"/>
      <c r="AH126" s="2">
        <v>0</v>
      </c>
      <c r="AI126" s="7"/>
      <c r="AJ126" s="3"/>
      <c r="AK126" s="8"/>
      <c r="AL126" s="2" t="str">
        <f t="shared" si="1"/>
        <v/>
      </c>
      <c r="AM126" s="2" t="s">
        <v>1363</v>
      </c>
      <c r="AN126" s="2" t="s">
        <v>1364</v>
      </c>
      <c r="AO126" s="2" t="s">
        <v>1365</v>
      </c>
      <c r="AP126" s="2"/>
    </row>
    <row r="127" spans="1:42" ht="25" x14ac:dyDescent="0.35">
      <c r="A127" s="2">
        <v>126</v>
      </c>
      <c r="B127" s="2" t="s">
        <v>42</v>
      </c>
      <c r="C127" s="2">
        <v>3.9</v>
      </c>
      <c r="D127" s="3" t="s">
        <v>43</v>
      </c>
      <c r="E127" s="3" t="s">
        <v>44</v>
      </c>
      <c r="F127" s="3" t="s">
        <v>45</v>
      </c>
      <c r="G127" s="2" t="s">
        <v>991</v>
      </c>
      <c r="H127" s="2" t="s">
        <v>1366</v>
      </c>
      <c r="I127" s="2" t="s">
        <v>1366</v>
      </c>
      <c r="J127" s="2" t="s">
        <v>1367</v>
      </c>
      <c r="K127" s="2" t="s">
        <v>1368</v>
      </c>
      <c r="L127" s="3"/>
      <c r="M127" s="3"/>
      <c r="N127" s="2" t="s">
        <v>1369</v>
      </c>
      <c r="O127" s="2" t="s">
        <v>1370</v>
      </c>
      <c r="P127" s="2"/>
      <c r="Q127" s="2" t="s">
        <v>1371</v>
      </c>
      <c r="R127" s="2"/>
      <c r="S127" s="4" t="s">
        <v>1372</v>
      </c>
      <c r="T127" s="2"/>
      <c r="U127" s="2">
        <v>4.4000000000000004</v>
      </c>
      <c r="V127" s="2">
        <v>19</v>
      </c>
      <c r="W127" s="2"/>
      <c r="X127" s="5"/>
      <c r="Y127" s="2" t="s">
        <v>66</v>
      </c>
      <c r="Z127" s="5" t="s">
        <v>1373</v>
      </c>
      <c r="AA127" s="2">
        <v>236</v>
      </c>
      <c r="AB127" s="2"/>
      <c r="AC127" s="5"/>
      <c r="AD127" s="5" t="s">
        <v>1374</v>
      </c>
      <c r="AE127" s="3"/>
      <c r="AF127" s="6"/>
      <c r="AG127" s="7"/>
      <c r="AH127" s="2">
        <v>0</v>
      </c>
      <c r="AI127" s="7"/>
      <c r="AJ127" s="3"/>
      <c r="AK127" s="8"/>
      <c r="AL127" s="2" t="str">
        <f t="shared" si="1"/>
        <v>Abrir WhatsApp</v>
      </c>
      <c r="AM127" s="2"/>
      <c r="AN127" s="2" t="s">
        <v>1375</v>
      </c>
      <c r="AO127" s="2" t="s">
        <v>1376</v>
      </c>
      <c r="AP127" s="2"/>
    </row>
    <row r="128" spans="1:42" ht="25" x14ac:dyDescent="0.35">
      <c r="A128" s="2">
        <v>127</v>
      </c>
      <c r="B128" s="2" t="s">
        <v>42</v>
      </c>
      <c r="C128" s="2">
        <v>3.8</v>
      </c>
      <c r="D128" s="3" t="s">
        <v>43</v>
      </c>
      <c r="E128" s="3" t="s">
        <v>44</v>
      </c>
      <c r="F128" s="3" t="s">
        <v>679</v>
      </c>
      <c r="G128" s="2" t="s">
        <v>46</v>
      </c>
      <c r="H128" s="2" t="s">
        <v>1377</v>
      </c>
      <c r="I128" s="2" t="s">
        <v>1378</v>
      </c>
      <c r="J128" s="2" t="s">
        <v>1379</v>
      </c>
      <c r="K128" s="2"/>
      <c r="L128" s="3"/>
      <c r="M128" s="3"/>
      <c r="N128" s="2" t="s">
        <v>1380</v>
      </c>
      <c r="O128" s="2"/>
      <c r="P128" s="2"/>
      <c r="Q128" s="2"/>
      <c r="R128" s="2"/>
      <c r="S128" s="2"/>
      <c r="T128" s="2"/>
      <c r="U128" s="2"/>
      <c r="V128" s="2"/>
      <c r="W128" s="2"/>
      <c r="X128" s="5"/>
      <c r="Y128" s="2"/>
      <c r="Z128" s="5"/>
      <c r="AA128" s="2">
        <v>441</v>
      </c>
      <c r="AB128" s="2"/>
      <c r="AC128" s="5"/>
      <c r="AD128" s="5" t="s">
        <v>1381</v>
      </c>
      <c r="AE128" s="3"/>
      <c r="AF128" s="6"/>
      <c r="AG128" s="7"/>
      <c r="AH128" s="2">
        <v>0</v>
      </c>
      <c r="AI128" s="7"/>
      <c r="AJ128" s="3"/>
      <c r="AK128" s="8"/>
      <c r="AL128" s="2" t="str">
        <f t="shared" si="1"/>
        <v/>
      </c>
      <c r="AM128" s="2"/>
      <c r="AN128" s="2" t="s">
        <v>1382</v>
      </c>
      <c r="AO128" s="2" t="s">
        <v>1383</v>
      </c>
      <c r="AP128" s="2"/>
    </row>
    <row r="129" spans="1:42" ht="50" x14ac:dyDescent="0.35">
      <c r="A129" s="2">
        <v>128</v>
      </c>
      <c r="B129" s="2" t="s">
        <v>42</v>
      </c>
      <c r="C129" s="2">
        <v>3.8</v>
      </c>
      <c r="D129" s="3" t="s">
        <v>43</v>
      </c>
      <c r="E129" s="3" t="s">
        <v>44</v>
      </c>
      <c r="F129" s="3" t="s">
        <v>679</v>
      </c>
      <c r="G129" s="2" t="s">
        <v>46</v>
      </c>
      <c r="H129" s="2" t="s">
        <v>46</v>
      </c>
      <c r="I129" s="2" t="s">
        <v>46</v>
      </c>
      <c r="J129" s="2" t="s">
        <v>1384</v>
      </c>
      <c r="K129" s="2"/>
      <c r="L129" s="3"/>
      <c r="M129" s="3"/>
      <c r="N129" s="2" t="s">
        <v>1385</v>
      </c>
      <c r="O129" s="2" t="s">
        <v>1386</v>
      </c>
      <c r="P129" s="2"/>
      <c r="Q129" s="2"/>
      <c r="R129" s="4" t="s">
        <v>1387</v>
      </c>
      <c r="S129" s="4" t="s">
        <v>1388</v>
      </c>
      <c r="T129" s="2"/>
      <c r="U129" s="2">
        <v>4.8</v>
      </c>
      <c r="V129" s="2">
        <v>30</v>
      </c>
      <c r="W129" s="2"/>
      <c r="X129" s="5" t="s">
        <v>319</v>
      </c>
      <c r="Y129" s="2" t="s">
        <v>66</v>
      </c>
      <c r="Z129" s="5" t="s">
        <v>1389</v>
      </c>
      <c r="AA129" s="2">
        <v>445</v>
      </c>
      <c r="AB129" s="2"/>
      <c r="AC129" s="5"/>
      <c r="AD129" s="5" t="s">
        <v>1390</v>
      </c>
      <c r="AE129" s="3"/>
      <c r="AF129" s="6"/>
      <c r="AG129" s="7"/>
      <c r="AH129" s="2">
        <v>0</v>
      </c>
      <c r="AI129" s="7"/>
      <c r="AJ129" s="3"/>
      <c r="AK129" s="8"/>
      <c r="AL129" s="2" t="str">
        <f t="shared" si="1"/>
        <v>Abrir WhatsApp</v>
      </c>
      <c r="AM129" s="2" t="s">
        <v>1391</v>
      </c>
      <c r="AN129" s="2" t="s">
        <v>1392</v>
      </c>
      <c r="AO129" s="2" t="s">
        <v>1393</v>
      </c>
      <c r="AP129" s="2"/>
    </row>
    <row r="130" spans="1:42" ht="37.5" x14ac:dyDescent="0.35">
      <c r="A130" s="2">
        <v>129</v>
      </c>
      <c r="B130" s="2" t="s">
        <v>42</v>
      </c>
      <c r="C130" s="2">
        <v>3.8</v>
      </c>
      <c r="D130" s="3" t="s">
        <v>43</v>
      </c>
      <c r="E130" s="3" t="s">
        <v>44</v>
      </c>
      <c r="F130" s="3" t="s">
        <v>679</v>
      </c>
      <c r="G130" s="2" t="s">
        <v>126</v>
      </c>
      <c r="H130" s="2" t="s">
        <v>1394</v>
      </c>
      <c r="I130" s="2" t="s">
        <v>1394</v>
      </c>
      <c r="J130" s="2" t="s">
        <v>1395</v>
      </c>
      <c r="K130" s="2"/>
      <c r="L130" s="3"/>
      <c r="M130" s="3"/>
      <c r="N130" s="2" t="s">
        <v>1396</v>
      </c>
      <c r="O130" s="2" t="s">
        <v>1397</v>
      </c>
      <c r="P130" s="2"/>
      <c r="Q130" s="2" t="s">
        <v>1398</v>
      </c>
      <c r="R130" s="4" t="s">
        <v>1399</v>
      </c>
      <c r="S130" s="4" t="s">
        <v>1400</v>
      </c>
      <c r="T130" s="2"/>
      <c r="U130" s="2">
        <v>4.8</v>
      </c>
      <c r="V130" s="2">
        <v>35</v>
      </c>
      <c r="W130" s="2"/>
      <c r="X130" s="5" t="s">
        <v>224</v>
      </c>
      <c r="Y130" s="2" t="s">
        <v>66</v>
      </c>
      <c r="Z130" s="5" t="s">
        <v>1401</v>
      </c>
      <c r="AA130" s="2">
        <v>580</v>
      </c>
      <c r="AB130" s="2" t="s">
        <v>1402</v>
      </c>
      <c r="AC130" s="5"/>
      <c r="AD130" s="5" t="s">
        <v>1403</v>
      </c>
      <c r="AE130" s="3"/>
      <c r="AF130" s="6"/>
      <c r="AG130" s="7"/>
      <c r="AH130" s="2">
        <v>0</v>
      </c>
      <c r="AI130" s="7"/>
      <c r="AJ130" s="3"/>
      <c r="AK130" s="8"/>
      <c r="AL130" s="2" t="str">
        <f t="shared" ref="AL130:AL193" si="2">IF(IF(O130&lt;&gt;"",O130,IF(LEFT(TRIM(N130),1)="9",N130,""))="","",HYPERLINK("https://wa.me/351"&amp;LEFT(SUBSTITUTE(SUBSTITUTE(SUBSTITUTE(IF(O130&lt;&gt;"",O130,IF(LEFT(TRIM(N130),1)="9",N130,""))," ",""),"+351",""),"-",""),9),"Abrir WhatsApp"))</f>
        <v>Abrir WhatsApp</v>
      </c>
      <c r="AM130" s="2"/>
      <c r="AN130" s="2" t="s">
        <v>1404</v>
      </c>
      <c r="AO130" s="2" t="s">
        <v>1405</v>
      </c>
      <c r="AP130" s="2"/>
    </row>
    <row r="131" spans="1:42" ht="37.5" x14ac:dyDescent="0.35">
      <c r="A131" s="2">
        <v>130</v>
      </c>
      <c r="B131" s="2" t="s">
        <v>42</v>
      </c>
      <c r="C131" s="2">
        <v>3.8</v>
      </c>
      <c r="D131" s="3" t="s">
        <v>43</v>
      </c>
      <c r="E131" s="3" t="s">
        <v>44</v>
      </c>
      <c r="F131" s="3" t="s">
        <v>679</v>
      </c>
      <c r="G131" s="2" t="s">
        <v>126</v>
      </c>
      <c r="H131" s="2" t="s">
        <v>346</v>
      </c>
      <c r="I131" s="2" t="s">
        <v>420</v>
      </c>
      <c r="J131" s="2" t="s">
        <v>1406</v>
      </c>
      <c r="K131" s="2"/>
      <c r="L131" s="3"/>
      <c r="M131" s="3"/>
      <c r="N131" s="2" t="s">
        <v>1407</v>
      </c>
      <c r="O131" s="2" t="s">
        <v>1408</v>
      </c>
      <c r="P131" s="2"/>
      <c r="Q131" s="2"/>
      <c r="R131" s="2"/>
      <c r="S131" s="4" t="s">
        <v>1409</v>
      </c>
      <c r="T131" s="2"/>
      <c r="U131" s="2">
        <v>4.0999999999999996</v>
      </c>
      <c r="V131" s="2">
        <v>16</v>
      </c>
      <c r="W131" s="2"/>
      <c r="X131" s="5" t="s">
        <v>224</v>
      </c>
      <c r="Y131" s="2" t="s">
        <v>66</v>
      </c>
      <c r="Z131" s="5" t="s">
        <v>1410</v>
      </c>
      <c r="AA131" s="2">
        <v>192</v>
      </c>
      <c r="AB131" s="2"/>
      <c r="AC131" s="5" t="s">
        <v>1411</v>
      </c>
      <c r="AD131" s="5" t="s">
        <v>1412</v>
      </c>
      <c r="AE131" s="3"/>
      <c r="AF131" s="6"/>
      <c r="AG131" s="7"/>
      <c r="AH131" s="2">
        <v>0</v>
      </c>
      <c r="AI131" s="7"/>
      <c r="AJ131" s="3"/>
      <c r="AK131" s="8"/>
      <c r="AL131" s="2" t="str">
        <f t="shared" si="2"/>
        <v>Abrir WhatsApp</v>
      </c>
      <c r="AM131" s="2"/>
      <c r="AN131" s="2" t="s">
        <v>1413</v>
      </c>
      <c r="AO131" s="2" t="s">
        <v>1414</v>
      </c>
      <c r="AP131" s="2"/>
    </row>
    <row r="132" spans="1:42" ht="37.5" x14ac:dyDescent="0.35">
      <c r="A132" s="2">
        <v>131</v>
      </c>
      <c r="B132" s="2" t="s">
        <v>42</v>
      </c>
      <c r="C132" s="2">
        <v>3.8</v>
      </c>
      <c r="D132" s="3" t="s">
        <v>43</v>
      </c>
      <c r="E132" s="3" t="s">
        <v>44</v>
      </c>
      <c r="F132" s="3" t="s">
        <v>679</v>
      </c>
      <c r="G132" s="2" t="s">
        <v>74</v>
      </c>
      <c r="H132" s="2" t="s">
        <v>591</v>
      </c>
      <c r="I132" s="2" t="s">
        <v>591</v>
      </c>
      <c r="J132" s="2" t="s">
        <v>1415</v>
      </c>
      <c r="K132" s="2"/>
      <c r="L132" s="3"/>
      <c r="M132" s="3"/>
      <c r="N132" s="2" t="s">
        <v>1416</v>
      </c>
      <c r="O132" s="2"/>
      <c r="P132" s="2"/>
      <c r="Q132" s="2"/>
      <c r="R132" s="2"/>
      <c r="S132" s="4" t="s">
        <v>1417</v>
      </c>
      <c r="T132" s="2"/>
      <c r="U132" s="2">
        <v>4.8</v>
      </c>
      <c r="V132" s="2">
        <v>15</v>
      </c>
      <c r="W132" s="2"/>
      <c r="X132" s="5" t="s">
        <v>224</v>
      </c>
      <c r="Y132" s="2" t="s">
        <v>118</v>
      </c>
      <c r="Z132" s="5" t="s">
        <v>1418</v>
      </c>
      <c r="AA132" s="2">
        <v>448</v>
      </c>
      <c r="AB132" s="2"/>
      <c r="AC132" s="5"/>
      <c r="AD132" s="5" t="s">
        <v>1419</v>
      </c>
      <c r="AE132" s="3"/>
      <c r="AF132" s="6"/>
      <c r="AG132" s="7"/>
      <c r="AH132" s="2">
        <v>0</v>
      </c>
      <c r="AI132" s="7"/>
      <c r="AJ132" s="3"/>
      <c r="AK132" s="8"/>
      <c r="AL132" s="2" t="str">
        <f t="shared" si="2"/>
        <v/>
      </c>
      <c r="AM132" s="2"/>
      <c r="AN132" s="2" t="s">
        <v>1420</v>
      </c>
      <c r="AO132" s="2" t="s">
        <v>1421</v>
      </c>
      <c r="AP132" s="2"/>
    </row>
    <row r="133" spans="1:42" ht="75" x14ac:dyDescent="0.35">
      <c r="A133" s="2">
        <v>132</v>
      </c>
      <c r="B133" s="2" t="s">
        <v>42</v>
      </c>
      <c r="C133" s="2">
        <v>3.8</v>
      </c>
      <c r="D133" s="3" t="s">
        <v>43</v>
      </c>
      <c r="E133" s="3" t="s">
        <v>44</v>
      </c>
      <c r="F133" s="3" t="s">
        <v>679</v>
      </c>
      <c r="G133" s="2" t="s">
        <v>74</v>
      </c>
      <c r="H133" s="2" t="s">
        <v>75</v>
      </c>
      <c r="I133" s="2" t="s">
        <v>1422</v>
      </c>
      <c r="J133" s="2" t="s">
        <v>1423</v>
      </c>
      <c r="K133" s="2"/>
      <c r="L133" s="3"/>
      <c r="M133" s="3"/>
      <c r="N133" s="2" t="s">
        <v>1424</v>
      </c>
      <c r="O133" s="2"/>
      <c r="P133" s="2"/>
      <c r="Q133" s="2"/>
      <c r="R133" s="2"/>
      <c r="S133" s="2"/>
      <c r="T133" s="2"/>
      <c r="U133" s="2"/>
      <c r="V133" s="2"/>
      <c r="W133" s="2"/>
      <c r="X133" s="5"/>
      <c r="Y133" s="2"/>
      <c r="Z133" s="5"/>
      <c r="AA133" s="2">
        <v>462</v>
      </c>
      <c r="AB133" s="2"/>
      <c r="AC133" s="5"/>
      <c r="AD133" s="5" t="s">
        <v>1425</v>
      </c>
      <c r="AE133" s="3"/>
      <c r="AF133" s="6"/>
      <c r="AG133" s="7"/>
      <c r="AH133" s="2">
        <v>0</v>
      </c>
      <c r="AI133" s="7"/>
      <c r="AJ133" s="3"/>
      <c r="AK133" s="8"/>
      <c r="AL133" s="2" t="str">
        <f t="shared" si="2"/>
        <v/>
      </c>
      <c r="AM133" s="2"/>
      <c r="AN133" s="2" t="s">
        <v>1426</v>
      </c>
      <c r="AO133" s="2" t="s">
        <v>1427</v>
      </c>
      <c r="AP133" s="2"/>
    </row>
    <row r="134" spans="1:42" ht="112.5" x14ac:dyDescent="0.35">
      <c r="A134" s="2">
        <v>133</v>
      </c>
      <c r="B134" s="2" t="s">
        <v>42</v>
      </c>
      <c r="C134" s="2">
        <v>3.8</v>
      </c>
      <c r="D134" s="3" t="s">
        <v>43</v>
      </c>
      <c r="E134" s="3" t="s">
        <v>44</v>
      </c>
      <c r="F134" s="3" t="s">
        <v>679</v>
      </c>
      <c r="G134" s="2" t="s">
        <v>207</v>
      </c>
      <c r="H134" s="2" t="s">
        <v>207</v>
      </c>
      <c r="I134" s="2" t="s">
        <v>1428</v>
      </c>
      <c r="J134" s="2" t="s">
        <v>1429</v>
      </c>
      <c r="K134" s="2"/>
      <c r="L134" s="3"/>
      <c r="M134" s="3"/>
      <c r="N134" s="2" t="s">
        <v>1430</v>
      </c>
      <c r="O134" s="2"/>
      <c r="P134" s="2"/>
      <c r="Q134" s="2"/>
      <c r="R134" s="2"/>
      <c r="S134" s="2"/>
      <c r="T134" s="2"/>
      <c r="U134" s="2">
        <v>3.8</v>
      </c>
      <c r="V134" s="2">
        <v>45</v>
      </c>
      <c r="W134" s="2"/>
      <c r="X134" s="5" t="s">
        <v>213</v>
      </c>
      <c r="Y134" s="2" t="s">
        <v>66</v>
      </c>
      <c r="Z134" s="5" t="s">
        <v>1431</v>
      </c>
      <c r="AA134" s="2">
        <v>455</v>
      </c>
      <c r="AB134" s="2"/>
      <c r="AC134" s="5" t="s">
        <v>1432</v>
      </c>
      <c r="AD134" s="5" t="s">
        <v>1433</v>
      </c>
      <c r="AE134" s="3"/>
      <c r="AF134" s="6"/>
      <c r="AG134" s="7"/>
      <c r="AH134" s="2">
        <v>0</v>
      </c>
      <c r="AI134" s="7"/>
      <c r="AJ134" s="3"/>
      <c r="AK134" s="8"/>
      <c r="AL134" s="2" t="str">
        <f t="shared" si="2"/>
        <v/>
      </c>
      <c r="AM134" s="2"/>
      <c r="AN134" s="2" t="s">
        <v>1434</v>
      </c>
      <c r="AO134" s="2" t="s">
        <v>1435</v>
      </c>
      <c r="AP134" s="2"/>
    </row>
    <row r="135" spans="1:42" ht="50" x14ac:dyDescent="0.35">
      <c r="A135" s="2">
        <v>134</v>
      </c>
      <c r="B135" s="2" t="s">
        <v>42</v>
      </c>
      <c r="C135" s="2">
        <v>3.8</v>
      </c>
      <c r="D135" s="3" t="s">
        <v>43</v>
      </c>
      <c r="E135" s="3" t="s">
        <v>44</v>
      </c>
      <c r="F135" s="3" t="s">
        <v>45</v>
      </c>
      <c r="G135" s="2" t="s">
        <v>393</v>
      </c>
      <c r="H135" s="2" t="s">
        <v>1436</v>
      </c>
      <c r="I135" s="2" t="s">
        <v>1437</v>
      </c>
      <c r="J135" s="2" t="s">
        <v>1438</v>
      </c>
      <c r="K135" s="2" t="s">
        <v>966</v>
      </c>
      <c r="L135" s="3"/>
      <c r="M135" s="3"/>
      <c r="N135" s="2" t="s">
        <v>1439</v>
      </c>
      <c r="O135" s="2"/>
      <c r="P135" s="2"/>
      <c r="Q135" s="2"/>
      <c r="R135" s="4" t="s">
        <v>1440</v>
      </c>
      <c r="S135" s="2"/>
      <c r="T135" s="2"/>
      <c r="U135" s="2"/>
      <c r="V135" s="2"/>
      <c r="W135" s="2"/>
      <c r="X135" s="5"/>
      <c r="Y135" s="2"/>
      <c r="Z135" s="5"/>
      <c r="AA135" s="2">
        <v>199</v>
      </c>
      <c r="AB135" s="2"/>
      <c r="AC135" s="5"/>
      <c r="AD135" s="5" t="s">
        <v>1441</v>
      </c>
      <c r="AE135" s="3"/>
      <c r="AF135" s="6"/>
      <c r="AG135" s="7"/>
      <c r="AH135" s="2">
        <v>0</v>
      </c>
      <c r="AI135" s="7"/>
      <c r="AJ135" s="3"/>
      <c r="AK135" s="8"/>
      <c r="AL135" s="2" t="str">
        <f t="shared" si="2"/>
        <v/>
      </c>
      <c r="AM135" s="2"/>
      <c r="AN135" s="2" t="s">
        <v>1442</v>
      </c>
      <c r="AO135" s="2" t="s">
        <v>1443</v>
      </c>
      <c r="AP135" s="2"/>
    </row>
    <row r="136" spans="1:42" ht="37.5" x14ac:dyDescent="0.35">
      <c r="A136" s="2">
        <v>135</v>
      </c>
      <c r="B136" s="2" t="s">
        <v>42</v>
      </c>
      <c r="C136" s="2">
        <v>3.8</v>
      </c>
      <c r="D136" s="3" t="s">
        <v>43</v>
      </c>
      <c r="E136" s="3" t="s">
        <v>44</v>
      </c>
      <c r="F136" s="3" t="s">
        <v>45</v>
      </c>
      <c r="G136" s="2" t="s">
        <v>1159</v>
      </c>
      <c r="H136" s="2" t="s">
        <v>1159</v>
      </c>
      <c r="I136" s="2" t="s">
        <v>1159</v>
      </c>
      <c r="J136" s="2" t="s">
        <v>1444</v>
      </c>
      <c r="K136" s="2" t="s">
        <v>1445</v>
      </c>
      <c r="L136" s="3"/>
      <c r="M136" s="3"/>
      <c r="N136" s="2" t="s">
        <v>1446</v>
      </c>
      <c r="O136" s="2"/>
      <c r="P136" s="2"/>
      <c r="Q136" s="2"/>
      <c r="R136" s="2"/>
      <c r="S136" s="2"/>
      <c r="T136" s="2"/>
      <c r="U136" s="2">
        <v>4.3</v>
      </c>
      <c r="V136" s="2">
        <v>3</v>
      </c>
      <c r="W136" s="2"/>
      <c r="X136" s="5"/>
      <c r="Y136" s="2" t="s">
        <v>118</v>
      </c>
      <c r="Z136" s="5" t="s">
        <v>1163</v>
      </c>
      <c r="AA136" s="2">
        <v>201</v>
      </c>
      <c r="AB136" s="2"/>
      <c r="AC136" s="5"/>
      <c r="AD136" s="5" t="s">
        <v>1447</v>
      </c>
      <c r="AE136" s="3"/>
      <c r="AF136" s="6"/>
      <c r="AG136" s="7"/>
      <c r="AH136" s="2">
        <v>0</v>
      </c>
      <c r="AI136" s="7"/>
      <c r="AJ136" s="3"/>
      <c r="AK136" s="8"/>
      <c r="AL136" s="2" t="str">
        <f t="shared" si="2"/>
        <v/>
      </c>
      <c r="AM136" s="2"/>
      <c r="AN136" s="2" t="s">
        <v>1448</v>
      </c>
      <c r="AO136" s="2" t="s">
        <v>1449</v>
      </c>
      <c r="AP136" s="2"/>
    </row>
    <row r="137" spans="1:42" ht="25" x14ac:dyDescent="0.35">
      <c r="A137" s="2">
        <v>136</v>
      </c>
      <c r="B137" s="2" t="s">
        <v>42</v>
      </c>
      <c r="C137" s="2">
        <v>3.7</v>
      </c>
      <c r="D137" s="3" t="s">
        <v>43</v>
      </c>
      <c r="E137" s="3" t="s">
        <v>44</v>
      </c>
      <c r="F137" s="3" t="s">
        <v>679</v>
      </c>
      <c r="G137" s="2" t="s">
        <v>46</v>
      </c>
      <c r="H137" s="2" t="s">
        <v>323</v>
      </c>
      <c r="I137" s="2" t="s">
        <v>323</v>
      </c>
      <c r="J137" s="2" t="s">
        <v>1450</v>
      </c>
      <c r="K137" s="2"/>
      <c r="L137" s="3"/>
      <c r="M137" s="3"/>
      <c r="N137" s="2" t="s">
        <v>1451</v>
      </c>
      <c r="O137" s="2"/>
      <c r="P137" s="2"/>
      <c r="Q137" s="2" t="s">
        <v>1452</v>
      </c>
      <c r="R137" s="2"/>
      <c r="S137" s="4" t="s">
        <v>1453</v>
      </c>
      <c r="T137" s="2"/>
      <c r="U137" s="2"/>
      <c r="V137" s="2"/>
      <c r="W137" s="2"/>
      <c r="X137" s="5"/>
      <c r="Y137" s="2"/>
      <c r="Z137" s="5"/>
      <c r="AA137" s="2">
        <v>423</v>
      </c>
      <c r="AB137" s="2"/>
      <c r="AC137" s="5"/>
      <c r="AD137" s="5" t="s">
        <v>1454</v>
      </c>
      <c r="AE137" s="3"/>
      <c r="AF137" s="6"/>
      <c r="AG137" s="7"/>
      <c r="AH137" s="2">
        <v>0</v>
      </c>
      <c r="AI137" s="7"/>
      <c r="AJ137" s="3"/>
      <c r="AK137" s="8"/>
      <c r="AL137" s="2" t="str">
        <f t="shared" si="2"/>
        <v/>
      </c>
      <c r="AM137" s="2"/>
      <c r="AN137" s="2" t="s">
        <v>1455</v>
      </c>
      <c r="AO137" s="2" t="s">
        <v>1456</v>
      </c>
      <c r="AP137" s="2"/>
    </row>
    <row r="138" spans="1:42" ht="87.5" x14ac:dyDescent="0.35">
      <c r="A138" s="2">
        <v>137</v>
      </c>
      <c r="B138" s="2" t="s">
        <v>42</v>
      </c>
      <c r="C138" s="2">
        <v>3.7</v>
      </c>
      <c r="D138" s="3" t="s">
        <v>43</v>
      </c>
      <c r="E138" s="3" t="s">
        <v>44</v>
      </c>
      <c r="F138" s="3" t="s">
        <v>679</v>
      </c>
      <c r="G138" s="2" t="s">
        <v>126</v>
      </c>
      <c r="H138" s="2" t="s">
        <v>346</v>
      </c>
      <c r="I138" s="2" t="s">
        <v>1457</v>
      </c>
      <c r="J138" s="2" t="s">
        <v>1458</v>
      </c>
      <c r="K138" s="2"/>
      <c r="L138" s="3"/>
      <c r="M138" s="3"/>
      <c r="N138" s="2" t="s">
        <v>1459</v>
      </c>
      <c r="O138" s="2" t="s">
        <v>1460</v>
      </c>
      <c r="P138" s="2" t="s">
        <v>130</v>
      </c>
      <c r="Q138" s="2"/>
      <c r="R138" s="4" t="s">
        <v>1461</v>
      </c>
      <c r="S138" s="4" t="s">
        <v>1462</v>
      </c>
      <c r="T138" s="4" t="s">
        <v>1463</v>
      </c>
      <c r="U138" s="2">
        <v>4.3</v>
      </c>
      <c r="V138" s="2">
        <v>16</v>
      </c>
      <c r="W138" s="2"/>
      <c r="X138" s="5" t="s">
        <v>1464</v>
      </c>
      <c r="Y138" s="2" t="s">
        <v>66</v>
      </c>
      <c r="Z138" s="5" t="s">
        <v>1465</v>
      </c>
      <c r="AA138" s="2">
        <v>413</v>
      </c>
      <c r="AB138" s="2" t="s">
        <v>1466</v>
      </c>
      <c r="AC138" s="5" t="s">
        <v>1467</v>
      </c>
      <c r="AD138" s="5" t="s">
        <v>1468</v>
      </c>
      <c r="AE138" s="3"/>
      <c r="AF138" s="6"/>
      <c r="AG138" s="7"/>
      <c r="AH138" s="2">
        <v>0</v>
      </c>
      <c r="AI138" s="7"/>
      <c r="AJ138" s="3"/>
      <c r="AK138" s="8"/>
      <c r="AL138" s="2" t="str">
        <f t="shared" si="2"/>
        <v>Abrir WhatsApp</v>
      </c>
      <c r="AM138" s="2" t="s">
        <v>1469</v>
      </c>
      <c r="AN138" s="2" t="s">
        <v>1470</v>
      </c>
      <c r="AO138" s="2" t="s">
        <v>1471</v>
      </c>
      <c r="AP138" s="2"/>
    </row>
    <row r="139" spans="1:42" ht="75" x14ac:dyDescent="0.35">
      <c r="A139" s="2">
        <v>138</v>
      </c>
      <c r="B139" s="2" t="s">
        <v>42</v>
      </c>
      <c r="C139" s="2">
        <v>3.7</v>
      </c>
      <c r="D139" s="3" t="s">
        <v>43</v>
      </c>
      <c r="E139" s="3" t="s">
        <v>44</v>
      </c>
      <c r="F139" s="3" t="s">
        <v>679</v>
      </c>
      <c r="G139" s="2" t="s">
        <v>107</v>
      </c>
      <c r="H139" s="2" t="s">
        <v>1472</v>
      </c>
      <c r="I139" s="2" t="s">
        <v>1472</v>
      </c>
      <c r="J139" s="2" t="s">
        <v>1473</v>
      </c>
      <c r="K139" s="2"/>
      <c r="L139" s="3"/>
      <c r="M139" s="3"/>
      <c r="N139" s="2" t="s">
        <v>1474</v>
      </c>
      <c r="O139" s="2"/>
      <c r="P139" s="2"/>
      <c r="Q139" s="2"/>
      <c r="R139" s="2"/>
      <c r="S139" s="2"/>
      <c r="T139" s="2"/>
      <c r="U139" s="2">
        <v>4.3</v>
      </c>
      <c r="V139" s="2">
        <v>28</v>
      </c>
      <c r="W139" s="2"/>
      <c r="X139" s="5"/>
      <c r="Y139" s="2"/>
      <c r="Z139" s="5"/>
      <c r="AA139" s="2">
        <v>543</v>
      </c>
      <c r="AB139" s="2"/>
      <c r="AC139" s="5" t="s">
        <v>1475</v>
      </c>
      <c r="AD139" s="5" t="s">
        <v>1476</v>
      </c>
      <c r="AE139" s="3"/>
      <c r="AF139" s="6"/>
      <c r="AG139" s="7"/>
      <c r="AH139" s="2">
        <v>0</v>
      </c>
      <c r="AI139" s="7"/>
      <c r="AJ139" s="3"/>
      <c r="AK139" s="8"/>
      <c r="AL139" s="2" t="str">
        <f t="shared" si="2"/>
        <v/>
      </c>
      <c r="AM139" s="2" t="s">
        <v>1042</v>
      </c>
      <c r="AN139" s="2" t="s">
        <v>1477</v>
      </c>
      <c r="AO139" s="2" t="s">
        <v>1478</v>
      </c>
      <c r="AP139" s="2"/>
    </row>
    <row r="140" spans="1:42" ht="100" x14ac:dyDescent="0.35">
      <c r="A140" s="2">
        <v>139</v>
      </c>
      <c r="B140" s="2" t="s">
        <v>42</v>
      </c>
      <c r="C140" s="2">
        <v>3.7</v>
      </c>
      <c r="D140" s="3" t="s">
        <v>43</v>
      </c>
      <c r="E140" s="3" t="s">
        <v>44</v>
      </c>
      <c r="F140" s="3" t="s">
        <v>45</v>
      </c>
      <c r="G140" s="2" t="s">
        <v>207</v>
      </c>
      <c r="H140" s="2" t="s">
        <v>866</v>
      </c>
      <c r="I140" s="2" t="s">
        <v>1479</v>
      </c>
      <c r="J140" s="2" t="s">
        <v>1480</v>
      </c>
      <c r="K140" s="2" t="s">
        <v>726</v>
      </c>
      <c r="L140" s="3"/>
      <c r="M140" s="3"/>
      <c r="N140" s="2" t="s">
        <v>1481</v>
      </c>
      <c r="O140" s="2"/>
      <c r="P140" s="2"/>
      <c r="Q140" s="2" t="s">
        <v>1482</v>
      </c>
      <c r="R140" s="4" t="s">
        <v>1483</v>
      </c>
      <c r="S140" s="4" t="s">
        <v>1484</v>
      </c>
      <c r="T140" s="4" t="s">
        <v>732</v>
      </c>
      <c r="U140" s="2">
        <v>4.8</v>
      </c>
      <c r="V140" s="2">
        <v>11</v>
      </c>
      <c r="W140" s="2"/>
      <c r="X140" s="5" t="s">
        <v>733</v>
      </c>
      <c r="Y140" s="2" t="s">
        <v>118</v>
      </c>
      <c r="Z140" s="5" t="s">
        <v>1485</v>
      </c>
      <c r="AA140" s="2">
        <v>59</v>
      </c>
      <c r="AB140" s="2"/>
      <c r="AC140" s="5"/>
      <c r="AD140" s="5" t="s">
        <v>1486</v>
      </c>
      <c r="AE140" s="3"/>
      <c r="AF140" s="6"/>
      <c r="AG140" s="7"/>
      <c r="AH140" s="2">
        <v>0</v>
      </c>
      <c r="AI140" s="7"/>
      <c r="AJ140" s="3"/>
      <c r="AK140" s="8"/>
      <c r="AL140" s="2" t="str">
        <f t="shared" si="2"/>
        <v/>
      </c>
      <c r="AM140" s="2" t="s">
        <v>737</v>
      </c>
      <c r="AN140" s="2" t="s">
        <v>1487</v>
      </c>
      <c r="AO140" s="2" t="s">
        <v>1488</v>
      </c>
      <c r="AP140" s="2"/>
    </row>
    <row r="141" spans="1:42" ht="25" x14ac:dyDescent="0.35">
      <c r="A141" s="2">
        <v>140</v>
      </c>
      <c r="B141" s="2" t="s">
        <v>42</v>
      </c>
      <c r="C141" s="2">
        <v>3.7</v>
      </c>
      <c r="D141" s="3" t="s">
        <v>43</v>
      </c>
      <c r="E141" s="3" t="s">
        <v>44</v>
      </c>
      <c r="F141" s="3" t="s">
        <v>45</v>
      </c>
      <c r="G141" s="2" t="s">
        <v>393</v>
      </c>
      <c r="H141" s="2" t="s">
        <v>1489</v>
      </c>
      <c r="I141" s="2" t="s">
        <v>1489</v>
      </c>
      <c r="J141" s="2" t="s">
        <v>1490</v>
      </c>
      <c r="K141" s="2" t="s">
        <v>1491</v>
      </c>
      <c r="L141" s="3"/>
      <c r="M141" s="3"/>
      <c r="N141" s="2" t="s">
        <v>1492</v>
      </c>
      <c r="O141" s="2"/>
      <c r="P141" s="2"/>
      <c r="Q141" s="2"/>
      <c r="R141" s="2"/>
      <c r="S141" s="4" t="s">
        <v>1493</v>
      </c>
      <c r="T141" s="2"/>
      <c r="U141" s="2"/>
      <c r="V141" s="2"/>
      <c r="W141" s="2"/>
      <c r="X141" s="5" t="s">
        <v>1494</v>
      </c>
      <c r="Y141" s="2"/>
      <c r="Z141" s="5"/>
      <c r="AA141" s="2">
        <v>167</v>
      </c>
      <c r="AB141" s="2"/>
      <c r="AC141" s="5"/>
      <c r="AD141" s="5" t="s">
        <v>1495</v>
      </c>
      <c r="AE141" s="3"/>
      <c r="AF141" s="6"/>
      <c r="AG141" s="7"/>
      <c r="AH141" s="2">
        <v>0</v>
      </c>
      <c r="AI141" s="7"/>
      <c r="AJ141" s="3"/>
      <c r="AK141" s="8"/>
      <c r="AL141" s="2" t="str">
        <f t="shared" si="2"/>
        <v/>
      </c>
      <c r="AM141" s="2"/>
      <c r="AN141" s="2" t="s">
        <v>1496</v>
      </c>
      <c r="AO141" s="2" t="s">
        <v>1497</v>
      </c>
      <c r="AP141" s="2"/>
    </row>
    <row r="142" spans="1:42" ht="37.5" x14ac:dyDescent="0.35">
      <c r="A142" s="2">
        <v>141</v>
      </c>
      <c r="B142" s="2" t="s">
        <v>42</v>
      </c>
      <c r="C142" s="2">
        <v>3.6</v>
      </c>
      <c r="D142" s="3" t="s">
        <v>43</v>
      </c>
      <c r="E142" s="3" t="s">
        <v>44</v>
      </c>
      <c r="F142" s="3" t="s">
        <v>679</v>
      </c>
      <c r="G142" s="2" t="s">
        <v>46</v>
      </c>
      <c r="H142" s="2" t="s">
        <v>143</v>
      </c>
      <c r="I142" s="2" t="s">
        <v>143</v>
      </c>
      <c r="J142" s="2" t="s">
        <v>1498</v>
      </c>
      <c r="K142" s="2"/>
      <c r="L142" s="3"/>
      <c r="M142" s="3"/>
      <c r="N142" s="2" t="s">
        <v>1499</v>
      </c>
      <c r="O142" s="2" t="s">
        <v>1500</v>
      </c>
      <c r="P142" s="2"/>
      <c r="Q142" s="2"/>
      <c r="R142" s="2"/>
      <c r="S142" s="4" t="s">
        <v>1501</v>
      </c>
      <c r="T142" s="2"/>
      <c r="U142" s="2">
        <v>4.8</v>
      </c>
      <c r="V142" s="2">
        <v>9</v>
      </c>
      <c r="W142" s="2"/>
      <c r="X142" s="5"/>
      <c r="Y142" s="2" t="s">
        <v>66</v>
      </c>
      <c r="Z142" s="5" t="s">
        <v>1502</v>
      </c>
      <c r="AA142" s="2">
        <v>394</v>
      </c>
      <c r="AB142" s="2"/>
      <c r="AC142" s="5"/>
      <c r="AD142" s="5" t="s">
        <v>1503</v>
      </c>
      <c r="AE142" s="3"/>
      <c r="AF142" s="6"/>
      <c r="AG142" s="7"/>
      <c r="AH142" s="2">
        <v>0</v>
      </c>
      <c r="AI142" s="7"/>
      <c r="AJ142" s="3"/>
      <c r="AK142" s="8"/>
      <c r="AL142" s="2" t="str">
        <f t="shared" si="2"/>
        <v>Abrir WhatsApp</v>
      </c>
      <c r="AM142" s="2"/>
      <c r="AN142" s="2" t="s">
        <v>1504</v>
      </c>
      <c r="AO142" s="2" t="s">
        <v>1505</v>
      </c>
      <c r="AP142" s="2"/>
    </row>
    <row r="143" spans="1:42" ht="62.5" x14ac:dyDescent="0.35">
      <c r="A143" s="2">
        <v>142</v>
      </c>
      <c r="B143" s="2" t="s">
        <v>42</v>
      </c>
      <c r="C143" s="2">
        <v>3.6</v>
      </c>
      <c r="D143" s="3" t="s">
        <v>43</v>
      </c>
      <c r="E143" s="3" t="s">
        <v>44</v>
      </c>
      <c r="F143" s="3" t="s">
        <v>679</v>
      </c>
      <c r="G143" s="2" t="s">
        <v>126</v>
      </c>
      <c r="H143" s="2" t="s">
        <v>1506</v>
      </c>
      <c r="I143" s="2" t="s">
        <v>1506</v>
      </c>
      <c r="J143" s="2" t="s">
        <v>1507</v>
      </c>
      <c r="K143" s="2"/>
      <c r="L143" s="3"/>
      <c r="M143" s="3"/>
      <c r="N143" s="2" t="s">
        <v>1508</v>
      </c>
      <c r="O143" s="2"/>
      <c r="P143" s="2"/>
      <c r="Q143" s="2" t="s">
        <v>1509</v>
      </c>
      <c r="R143" s="2"/>
      <c r="S143" s="4" t="s">
        <v>1510</v>
      </c>
      <c r="T143" s="2"/>
      <c r="U143" s="2"/>
      <c r="V143" s="2"/>
      <c r="W143" s="2"/>
      <c r="X143" s="5"/>
      <c r="Y143" s="2"/>
      <c r="Z143" s="5"/>
      <c r="AA143" s="2">
        <v>531</v>
      </c>
      <c r="AB143" s="2"/>
      <c r="AC143" s="5"/>
      <c r="AD143" s="5" t="s">
        <v>1511</v>
      </c>
      <c r="AE143" s="3"/>
      <c r="AF143" s="6"/>
      <c r="AG143" s="7"/>
      <c r="AH143" s="2">
        <v>0</v>
      </c>
      <c r="AI143" s="7"/>
      <c r="AJ143" s="3"/>
      <c r="AK143" s="8"/>
      <c r="AL143" s="2" t="str">
        <f t="shared" si="2"/>
        <v/>
      </c>
      <c r="AM143" s="2"/>
      <c r="AN143" s="2" t="s">
        <v>1512</v>
      </c>
      <c r="AO143" s="2" t="s">
        <v>1513</v>
      </c>
      <c r="AP143" s="2"/>
    </row>
    <row r="144" spans="1:42" ht="100" x14ac:dyDescent="0.35">
      <c r="A144" s="2">
        <v>143</v>
      </c>
      <c r="B144" s="2" t="s">
        <v>42</v>
      </c>
      <c r="C144" s="2">
        <v>3.6</v>
      </c>
      <c r="D144" s="3" t="s">
        <v>43</v>
      </c>
      <c r="E144" s="3" t="s">
        <v>44</v>
      </c>
      <c r="F144" s="3" t="s">
        <v>679</v>
      </c>
      <c r="G144" s="2" t="s">
        <v>126</v>
      </c>
      <c r="H144" s="2" t="s">
        <v>1394</v>
      </c>
      <c r="I144" s="2" t="s">
        <v>1394</v>
      </c>
      <c r="J144" s="2" t="s">
        <v>1514</v>
      </c>
      <c r="K144" s="2"/>
      <c r="L144" s="3"/>
      <c r="M144" s="3"/>
      <c r="N144" s="2" t="s">
        <v>1515</v>
      </c>
      <c r="O144" s="2" t="s">
        <v>1516</v>
      </c>
      <c r="P144" s="2"/>
      <c r="Q144" s="2"/>
      <c r="R144" s="2"/>
      <c r="S144" s="4" t="s">
        <v>1517</v>
      </c>
      <c r="T144" s="2"/>
      <c r="U144" s="2">
        <v>4.8</v>
      </c>
      <c r="V144" s="2">
        <v>189</v>
      </c>
      <c r="W144" s="2"/>
      <c r="X144" s="5" t="s">
        <v>1518</v>
      </c>
      <c r="Y144" s="2" t="s">
        <v>66</v>
      </c>
      <c r="Z144" s="5" t="s">
        <v>1519</v>
      </c>
      <c r="AA144" s="2">
        <v>403</v>
      </c>
      <c r="AB144" s="2"/>
      <c r="AC144" s="5" t="s">
        <v>1520</v>
      </c>
      <c r="AD144" s="5" t="s">
        <v>1521</v>
      </c>
      <c r="AE144" s="3"/>
      <c r="AF144" s="6"/>
      <c r="AG144" s="7"/>
      <c r="AH144" s="2">
        <v>0</v>
      </c>
      <c r="AI144" s="7"/>
      <c r="AJ144" s="3"/>
      <c r="AK144" s="8"/>
      <c r="AL144" s="2" t="str">
        <f t="shared" si="2"/>
        <v>Abrir WhatsApp</v>
      </c>
      <c r="AM144" s="2"/>
      <c r="AN144" s="2" t="s">
        <v>1522</v>
      </c>
      <c r="AO144" s="2" t="s">
        <v>1523</v>
      </c>
      <c r="AP144" s="2"/>
    </row>
    <row r="145" spans="1:42" ht="50" x14ac:dyDescent="0.35">
      <c r="A145" s="2">
        <v>144</v>
      </c>
      <c r="B145" s="2" t="s">
        <v>42</v>
      </c>
      <c r="C145" s="2">
        <v>3.6</v>
      </c>
      <c r="D145" s="3" t="s">
        <v>43</v>
      </c>
      <c r="E145" s="3" t="s">
        <v>44</v>
      </c>
      <c r="F145" s="3" t="s">
        <v>45</v>
      </c>
      <c r="G145" s="2" t="s">
        <v>393</v>
      </c>
      <c r="H145" s="2" t="s">
        <v>621</v>
      </c>
      <c r="I145" s="2" t="s">
        <v>1524</v>
      </c>
      <c r="J145" s="2" t="s">
        <v>1525</v>
      </c>
      <c r="K145" s="2" t="s">
        <v>1526</v>
      </c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5"/>
      <c r="Y145" s="2"/>
      <c r="Z145" s="5"/>
      <c r="AA145" s="2">
        <v>160</v>
      </c>
      <c r="AB145" s="2"/>
      <c r="AC145" s="5"/>
      <c r="AD145" s="5" t="s">
        <v>1527</v>
      </c>
      <c r="AE145" s="3"/>
      <c r="AF145" s="6"/>
      <c r="AG145" s="7"/>
      <c r="AH145" s="2">
        <v>0</v>
      </c>
      <c r="AI145" s="7"/>
      <c r="AJ145" s="3"/>
      <c r="AK145" s="8"/>
      <c r="AL145" s="2" t="str">
        <f t="shared" si="2"/>
        <v/>
      </c>
      <c r="AM145" s="2"/>
      <c r="AN145" s="2" t="s">
        <v>1528</v>
      </c>
      <c r="AO145" s="2" t="s">
        <v>1529</v>
      </c>
      <c r="AP145" s="2"/>
    </row>
    <row r="146" spans="1:42" ht="37.5" x14ac:dyDescent="0.35">
      <c r="A146" s="2">
        <v>145</v>
      </c>
      <c r="B146" s="2" t="s">
        <v>42</v>
      </c>
      <c r="C146" s="2">
        <v>3.6</v>
      </c>
      <c r="D146" s="3" t="s">
        <v>43</v>
      </c>
      <c r="E146" s="3" t="s">
        <v>44</v>
      </c>
      <c r="F146" s="3" t="s">
        <v>45</v>
      </c>
      <c r="G146" s="2" t="s">
        <v>1159</v>
      </c>
      <c r="H146" s="2" t="s">
        <v>1530</v>
      </c>
      <c r="I146" s="2" t="s">
        <v>1530</v>
      </c>
      <c r="J146" s="2" t="s">
        <v>1531</v>
      </c>
      <c r="K146" s="2" t="s">
        <v>1532</v>
      </c>
      <c r="L146" s="3"/>
      <c r="M146" s="3"/>
      <c r="N146" s="2" t="s">
        <v>1533</v>
      </c>
      <c r="O146" s="2"/>
      <c r="P146" s="2"/>
      <c r="Q146" s="2"/>
      <c r="R146" s="2"/>
      <c r="S146" s="2"/>
      <c r="T146" s="2"/>
      <c r="U146" s="2"/>
      <c r="V146" s="2"/>
      <c r="W146" s="2"/>
      <c r="X146" s="5"/>
      <c r="Y146" s="2"/>
      <c r="Z146" s="5"/>
      <c r="AA146" s="2">
        <v>150</v>
      </c>
      <c r="AB146" s="2"/>
      <c r="AC146" s="5"/>
      <c r="AD146" s="5" t="s">
        <v>1534</v>
      </c>
      <c r="AE146" s="3"/>
      <c r="AF146" s="6"/>
      <c r="AG146" s="7"/>
      <c r="AH146" s="2">
        <v>0</v>
      </c>
      <c r="AI146" s="7"/>
      <c r="AJ146" s="3"/>
      <c r="AK146" s="8"/>
      <c r="AL146" s="2" t="str">
        <f t="shared" si="2"/>
        <v/>
      </c>
      <c r="AM146" s="2"/>
      <c r="AN146" s="2" t="s">
        <v>1535</v>
      </c>
      <c r="AO146" s="2" t="s">
        <v>1536</v>
      </c>
      <c r="AP146" s="2"/>
    </row>
    <row r="147" spans="1:42" ht="37.5" x14ac:dyDescent="0.35">
      <c r="A147" s="2">
        <v>146</v>
      </c>
      <c r="B147" s="2" t="s">
        <v>42</v>
      </c>
      <c r="C147" s="2">
        <v>3.6</v>
      </c>
      <c r="D147" s="3" t="s">
        <v>43</v>
      </c>
      <c r="E147" s="3" t="s">
        <v>44</v>
      </c>
      <c r="F147" s="3" t="s">
        <v>45</v>
      </c>
      <c r="G147" s="2" t="s">
        <v>1159</v>
      </c>
      <c r="H147" s="2" t="s">
        <v>1537</v>
      </c>
      <c r="I147" s="2" t="s">
        <v>1537</v>
      </c>
      <c r="J147" s="2" t="s">
        <v>1538</v>
      </c>
      <c r="K147" s="2" t="s">
        <v>1539</v>
      </c>
      <c r="L147" s="3"/>
      <c r="M147" s="3"/>
      <c r="N147" s="2" t="s">
        <v>1540</v>
      </c>
      <c r="O147" s="2"/>
      <c r="P147" s="2"/>
      <c r="Q147" s="2"/>
      <c r="R147" s="2"/>
      <c r="S147" s="2"/>
      <c r="T147" s="2"/>
      <c r="U147" s="2"/>
      <c r="V147" s="2"/>
      <c r="W147" s="2"/>
      <c r="X147" s="5"/>
      <c r="Y147" s="2"/>
      <c r="Z147" s="5"/>
      <c r="AA147" s="2">
        <v>161</v>
      </c>
      <c r="AB147" s="2"/>
      <c r="AC147" s="5"/>
      <c r="AD147" s="5" t="s">
        <v>1541</v>
      </c>
      <c r="AE147" s="3"/>
      <c r="AF147" s="6"/>
      <c r="AG147" s="7"/>
      <c r="AH147" s="2">
        <v>0</v>
      </c>
      <c r="AI147" s="7"/>
      <c r="AJ147" s="3"/>
      <c r="AK147" s="8"/>
      <c r="AL147" s="2" t="str">
        <f t="shared" si="2"/>
        <v/>
      </c>
      <c r="AM147" s="2"/>
      <c r="AN147" s="2" t="s">
        <v>1542</v>
      </c>
      <c r="AO147" s="2" t="s">
        <v>1543</v>
      </c>
      <c r="AP147" s="2"/>
    </row>
    <row r="148" spans="1:42" ht="25" x14ac:dyDescent="0.35">
      <c r="A148" s="2">
        <v>147</v>
      </c>
      <c r="B148" s="2" t="s">
        <v>42</v>
      </c>
      <c r="C148" s="2">
        <v>3.5</v>
      </c>
      <c r="D148" s="3" t="s">
        <v>43</v>
      </c>
      <c r="E148" s="3" t="s">
        <v>44</v>
      </c>
      <c r="F148" s="3" t="s">
        <v>679</v>
      </c>
      <c r="G148" s="2" t="s">
        <v>46</v>
      </c>
      <c r="H148" s="2" t="s">
        <v>46</v>
      </c>
      <c r="I148" s="2" t="s">
        <v>1544</v>
      </c>
      <c r="J148" s="2" t="s">
        <v>1545</v>
      </c>
      <c r="K148" s="2"/>
      <c r="L148" s="3"/>
      <c r="M148" s="3"/>
      <c r="N148" s="2" t="s">
        <v>1546</v>
      </c>
      <c r="O148" s="2" t="s">
        <v>1547</v>
      </c>
      <c r="P148" s="2"/>
      <c r="Q148" s="2"/>
      <c r="R148" s="2"/>
      <c r="S148" s="4" t="s">
        <v>1548</v>
      </c>
      <c r="T148" s="2"/>
      <c r="U148" s="2"/>
      <c r="V148" s="2"/>
      <c r="W148" s="2"/>
      <c r="X148" s="5"/>
      <c r="Y148" s="2"/>
      <c r="Z148" s="5"/>
      <c r="AA148" s="2">
        <v>382</v>
      </c>
      <c r="AB148" s="2"/>
      <c r="AC148" s="5"/>
      <c r="AD148" s="5" t="s">
        <v>1549</v>
      </c>
      <c r="AE148" s="3"/>
      <c r="AF148" s="6"/>
      <c r="AG148" s="7"/>
      <c r="AH148" s="2">
        <v>0</v>
      </c>
      <c r="AI148" s="7"/>
      <c r="AJ148" s="3"/>
      <c r="AK148" s="8"/>
      <c r="AL148" s="2" t="str">
        <f t="shared" si="2"/>
        <v>Abrir WhatsApp</v>
      </c>
      <c r="AM148" s="2"/>
      <c r="AN148" s="2" t="s">
        <v>1550</v>
      </c>
      <c r="AO148" s="2" t="s">
        <v>1551</v>
      </c>
      <c r="AP148" s="2"/>
    </row>
    <row r="149" spans="1:42" ht="25" x14ac:dyDescent="0.35">
      <c r="A149" s="2">
        <v>148</v>
      </c>
      <c r="B149" s="2" t="s">
        <v>42</v>
      </c>
      <c r="C149" s="2">
        <v>3.5</v>
      </c>
      <c r="D149" s="3" t="s">
        <v>43</v>
      </c>
      <c r="E149" s="3" t="s">
        <v>44</v>
      </c>
      <c r="F149" s="3" t="s">
        <v>679</v>
      </c>
      <c r="G149" s="2" t="s">
        <v>126</v>
      </c>
      <c r="H149" s="2" t="s">
        <v>1552</v>
      </c>
      <c r="I149" s="2" t="s">
        <v>1552</v>
      </c>
      <c r="J149" s="2" t="s">
        <v>1553</v>
      </c>
      <c r="K149" s="2"/>
      <c r="L149" s="3"/>
      <c r="M149" s="3"/>
      <c r="N149" s="2" t="s">
        <v>1554</v>
      </c>
      <c r="O149" s="2"/>
      <c r="P149" s="2"/>
      <c r="Q149" s="2"/>
      <c r="R149" s="2"/>
      <c r="S149" s="2"/>
      <c r="T149" s="2"/>
      <c r="U149" s="2"/>
      <c r="V149" s="2"/>
      <c r="W149" s="2"/>
      <c r="X149" s="5"/>
      <c r="Y149" s="2"/>
      <c r="Z149" s="5"/>
      <c r="AA149" s="2">
        <v>489</v>
      </c>
      <c r="AB149" s="2"/>
      <c r="AC149" s="5"/>
      <c r="AD149" s="5" t="s">
        <v>1555</v>
      </c>
      <c r="AE149" s="3"/>
      <c r="AF149" s="6"/>
      <c r="AG149" s="7"/>
      <c r="AH149" s="2">
        <v>0</v>
      </c>
      <c r="AI149" s="7"/>
      <c r="AJ149" s="3"/>
      <c r="AK149" s="8"/>
      <c r="AL149" s="2" t="str">
        <f t="shared" si="2"/>
        <v/>
      </c>
      <c r="AM149" s="2"/>
      <c r="AN149" s="2" t="s">
        <v>1556</v>
      </c>
      <c r="AO149" s="2" t="s">
        <v>1557</v>
      </c>
      <c r="AP149" s="2"/>
    </row>
    <row r="150" spans="1:42" ht="50" x14ac:dyDescent="0.35">
      <c r="A150" s="2">
        <v>149</v>
      </c>
      <c r="B150" s="2" t="s">
        <v>42</v>
      </c>
      <c r="C150" s="2">
        <v>3.5</v>
      </c>
      <c r="D150" s="3" t="s">
        <v>43</v>
      </c>
      <c r="E150" s="3" t="s">
        <v>44</v>
      </c>
      <c r="F150" s="3" t="s">
        <v>679</v>
      </c>
      <c r="G150" s="2" t="s">
        <v>126</v>
      </c>
      <c r="H150" s="2" t="s">
        <v>1394</v>
      </c>
      <c r="I150" s="2" t="s">
        <v>1394</v>
      </c>
      <c r="J150" s="2" t="s">
        <v>1558</v>
      </c>
      <c r="K150" s="2"/>
      <c r="L150" s="3"/>
      <c r="M150" s="3"/>
      <c r="N150" s="2" t="s">
        <v>1559</v>
      </c>
      <c r="O150" s="2" t="s">
        <v>1560</v>
      </c>
      <c r="P150" s="2"/>
      <c r="Q150" s="2"/>
      <c r="R150" s="2"/>
      <c r="S150" s="4" t="s">
        <v>1561</v>
      </c>
      <c r="T150" s="2"/>
      <c r="U150" s="2">
        <v>4.9000000000000004</v>
      </c>
      <c r="V150" s="2">
        <v>37</v>
      </c>
      <c r="W150" s="2"/>
      <c r="X150" s="5" t="s">
        <v>1562</v>
      </c>
      <c r="Y150" s="2" t="s">
        <v>66</v>
      </c>
      <c r="Z150" s="5" t="s">
        <v>1563</v>
      </c>
      <c r="AA150" s="2">
        <v>509</v>
      </c>
      <c r="AB150" s="2"/>
      <c r="AC150" s="5"/>
      <c r="AD150" s="5" t="s">
        <v>1564</v>
      </c>
      <c r="AE150" s="3"/>
      <c r="AF150" s="6"/>
      <c r="AG150" s="7"/>
      <c r="AH150" s="2">
        <v>0</v>
      </c>
      <c r="AI150" s="7"/>
      <c r="AJ150" s="3"/>
      <c r="AK150" s="8"/>
      <c r="AL150" s="2" t="str">
        <f t="shared" si="2"/>
        <v>Abrir WhatsApp</v>
      </c>
      <c r="AM150" s="2"/>
      <c r="AN150" s="2" t="s">
        <v>1565</v>
      </c>
      <c r="AO150" s="2" t="s">
        <v>1566</v>
      </c>
      <c r="AP150" s="2"/>
    </row>
    <row r="151" spans="1:42" ht="37.5" x14ac:dyDescent="0.35">
      <c r="A151" s="2">
        <v>150</v>
      </c>
      <c r="B151" s="2" t="s">
        <v>42</v>
      </c>
      <c r="C151" s="2">
        <v>3.5</v>
      </c>
      <c r="D151" s="3" t="s">
        <v>43</v>
      </c>
      <c r="E151" s="3" t="s">
        <v>44</v>
      </c>
      <c r="F151" s="3" t="s">
        <v>679</v>
      </c>
      <c r="G151" s="2" t="s">
        <v>74</v>
      </c>
      <c r="H151" s="2" t="s">
        <v>361</v>
      </c>
      <c r="I151" s="2" t="s">
        <v>361</v>
      </c>
      <c r="J151" s="2" t="s">
        <v>1567</v>
      </c>
      <c r="K151" s="2"/>
      <c r="L151" s="3"/>
      <c r="M151" s="3"/>
      <c r="N151" s="2" t="s">
        <v>1568</v>
      </c>
      <c r="O151" s="2"/>
      <c r="P151" s="2"/>
      <c r="Q151" s="2"/>
      <c r="R151" s="2"/>
      <c r="S151" s="4" t="s">
        <v>1569</v>
      </c>
      <c r="T151" s="2"/>
      <c r="U151" s="2">
        <v>5</v>
      </c>
      <c r="V151" s="2">
        <v>9</v>
      </c>
      <c r="W151" s="2"/>
      <c r="X151" s="5" t="s">
        <v>1570</v>
      </c>
      <c r="Y151" s="2" t="s">
        <v>66</v>
      </c>
      <c r="Z151" s="5" t="s">
        <v>1571</v>
      </c>
      <c r="AA151" s="2">
        <v>381</v>
      </c>
      <c r="AB151" s="2"/>
      <c r="AC151" s="5"/>
      <c r="AD151" s="5" t="s">
        <v>1572</v>
      </c>
      <c r="AE151" s="3"/>
      <c r="AF151" s="6"/>
      <c r="AG151" s="7"/>
      <c r="AH151" s="2">
        <v>0</v>
      </c>
      <c r="AI151" s="7"/>
      <c r="AJ151" s="3"/>
      <c r="AK151" s="8"/>
      <c r="AL151" s="2" t="str">
        <f t="shared" si="2"/>
        <v/>
      </c>
      <c r="AM151" s="2"/>
      <c r="AN151" s="2" t="s">
        <v>1573</v>
      </c>
      <c r="AO151" s="2" t="s">
        <v>1574</v>
      </c>
      <c r="AP151" s="2"/>
    </row>
    <row r="152" spans="1:42" ht="62.5" x14ac:dyDescent="0.35">
      <c r="A152" s="2">
        <v>151</v>
      </c>
      <c r="B152" s="2" t="s">
        <v>42</v>
      </c>
      <c r="C152" s="2">
        <v>3.5</v>
      </c>
      <c r="D152" s="3" t="s">
        <v>43</v>
      </c>
      <c r="E152" s="3" t="s">
        <v>44</v>
      </c>
      <c r="F152" s="3" t="s">
        <v>679</v>
      </c>
      <c r="G152" s="2" t="s">
        <v>74</v>
      </c>
      <c r="H152" s="2" t="s">
        <v>591</v>
      </c>
      <c r="I152" s="2" t="s">
        <v>591</v>
      </c>
      <c r="J152" s="2" t="s">
        <v>1575</v>
      </c>
      <c r="K152" s="2"/>
      <c r="L152" s="3"/>
      <c r="M152" s="3"/>
      <c r="N152" s="2" t="s">
        <v>1576</v>
      </c>
      <c r="O152" s="2" t="s">
        <v>1577</v>
      </c>
      <c r="P152" s="2"/>
      <c r="Q152" s="2" t="s">
        <v>1578</v>
      </c>
      <c r="R152" s="4" t="s">
        <v>1579</v>
      </c>
      <c r="S152" s="4" t="s">
        <v>1580</v>
      </c>
      <c r="T152" s="2"/>
      <c r="U152" s="2">
        <v>4.7</v>
      </c>
      <c r="V152" s="2">
        <v>26</v>
      </c>
      <c r="W152" s="2"/>
      <c r="X152" s="5" t="s">
        <v>1581</v>
      </c>
      <c r="Y152" s="2" t="s">
        <v>66</v>
      </c>
      <c r="Z152" s="5" t="s">
        <v>1582</v>
      </c>
      <c r="AA152" s="2">
        <v>364</v>
      </c>
      <c r="AB152" s="2" t="s">
        <v>1583</v>
      </c>
      <c r="AC152" s="5"/>
      <c r="AD152" s="5" t="s">
        <v>1584</v>
      </c>
      <c r="AE152" s="3"/>
      <c r="AF152" s="6"/>
      <c r="AG152" s="7"/>
      <c r="AH152" s="2">
        <v>0</v>
      </c>
      <c r="AI152" s="7"/>
      <c r="AJ152" s="3"/>
      <c r="AK152" s="8"/>
      <c r="AL152" s="2" t="str">
        <f t="shared" si="2"/>
        <v>Abrir WhatsApp</v>
      </c>
      <c r="AM152" s="2" t="s">
        <v>1585</v>
      </c>
      <c r="AN152" s="2" t="s">
        <v>1586</v>
      </c>
      <c r="AO152" s="2" t="s">
        <v>1587</v>
      </c>
      <c r="AP152" s="2"/>
    </row>
    <row r="153" spans="1:42" ht="62.5" x14ac:dyDescent="0.35">
      <c r="A153" s="2">
        <v>152</v>
      </c>
      <c r="B153" s="2" t="s">
        <v>42</v>
      </c>
      <c r="C153" s="2">
        <v>3.5</v>
      </c>
      <c r="D153" s="3" t="s">
        <v>43</v>
      </c>
      <c r="E153" s="3" t="s">
        <v>44</v>
      </c>
      <c r="F153" s="3" t="s">
        <v>45</v>
      </c>
      <c r="G153" s="2" t="s">
        <v>207</v>
      </c>
      <c r="H153" s="2" t="s">
        <v>1065</v>
      </c>
      <c r="I153" s="2" t="s">
        <v>1066</v>
      </c>
      <c r="J153" s="2" t="s">
        <v>1588</v>
      </c>
      <c r="K153" s="2" t="s">
        <v>1068</v>
      </c>
      <c r="L153" s="3"/>
      <c r="M153" s="3"/>
      <c r="N153" s="2" t="s">
        <v>1589</v>
      </c>
      <c r="O153" s="2"/>
      <c r="P153" s="2"/>
      <c r="Q153" s="2"/>
      <c r="R153" s="2"/>
      <c r="S153" s="2"/>
      <c r="T153" s="2"/>
      <c r="U153" s="2">
        <v>5</v>
      </c>
      <c r="V153" s="2">
        <v>5</v>
      </c>
      <c r="W153" s="2"/>
      <c r="X153" s="5" t="s">
        <v>213</v>
      </c>
      <c r="Y153" s="2" t="s">
        <v>66</v>
      </c>
      <c r="Z153" s="5" t="s">
        <v>1590</v>
      </c>
      <c r="AA153" s="2"/>
      <c r="AB153" s="2"/>
      <c r="AC153" s="5"/>
      <c r="AD153" s="5" t="s">
        <v>1591</v>
      </c>
      <c r="AE153" s="3"/>
      <c r="AF153" s="6"/>
      <c r="AG153" s="7"/>
      <c r="AH153" s="2">
        <v>0</v>
      </c>
      <c r="AI153" s="7"/>
      <c r="AJ153" s="3"/>
      <c r="AK153" s="8"/>
      <c r="AL153" s="2" t="str">
        <f t="shared" si="2"/>
        <v/>
      </c>
      <c r="AM153" s="2"/>
      <c r="AN153" s="2" t="s">
        <v>1592</v>
      </c>
      <c r="AO153" s="2" t="s">
        <v>1593</v>
      </c>
      <c r="AP153" s="2"/>
    </row>
    <row r="154" spans="1:42" ht="50" x14ac:dyDescent="0.35">
      <c r="A154" s="2">
        <v>153</v>
      </c>
      <c r="B154" s="2" t="s">
        <v>42</v>
      </c>
      <c r="C154" s="2">
        <v>3.5</v>
      </c>
      <c r="D154" s="3" t="s">
        <v>43</v>
      </c>
      <c r="E154" s="3" t="s">
        <v>44</v>
      </c>
      <c r="F154" s="3" t="s">
        <v>45</v>
      </c>
      <c r="G154" s="2" t="s">
        <v>207</v>
      </c>
      <c r="H154" s="2" t="s">
        <v>207</v>
      </c>
      <c r="I154" s="2" t="s">
        <v>1594</v>
      </c>
      <c r="J154" s="2" t="s">
        <v>1595</v>
      </c>
      <c r="K154" s="2" t="s">
        <v>210</v>
      </c>
      <c r="L154" s="3"/>
      <c r="M154" s="3"/>
      <c r="N154" s="2" t="s">
        <v>1596</v>
      </c>
      <c r="O154" s="2" t="s">
        <v>1597</v>
      </c>
      <c r="P154" s="2"/>
      <c r="Q154" s="2"/>
      <c r="R154" s="2"/>
      <c r="S154" s="4" t="s">
        <v>1598</v>
      </c>
      <c r="T154" s="2"/>
      <c r="U154" s="2"/>
      <c r="V154" s="2"/>
      <c r="W154" s="2"/>
      <c r="X154" s="5" t="s">
        <v>213</v>
      </c>
      <c r="Y154" s="2"/>
      <c r="Z154" s="5"/>
      <c r="AA154" s="2"/>
      <c r="AB154" s="2"/>
      <c r="AC154" s="5"/>
      <c r="AD154" s="5" t="s">
        <v>1599</v>
      </c>
      <c r="AE154" s="3"/>
      <c r="AF154" s="6"/>
      <c r="AG154" s="7"/>
      <c r="AH154" s="2">
        <v>0</v>
      </c>
      <c r="AI154" s="7"/>
      <c r="AJ154" s="3"/>
      <c r="AK154" s="8"/>
      <c r="AL154" s="2" t="str">
        <f t="shared" si="2"/>
        <v>Abrir WhatsApp</v>
      </c>
      <c r="AM154" s="2"/>
      <c r="AN154" s="2" t="s">
        <v>1600</v>
      </c>
      <c r="AO154" s="2" t="s">
        <v>1601</v>
      </c>
      <c r="AP154" s="2"/>
    </row>
    <row r="155" spans="1:42" ht="75" x14ac:dyDescent="0.35">
      <c r="A155" s="2">
        <v>154</v>
      </c>
      <c r="B155" s="2" t="s">
        <v>42</v>
      </c>
      <c r="C155" s="2">
        <v>3.5</v>
      </c>
      <c r="D155" s="3" t="s">
        <v>43</v>
      </c>
      <c r="E155" s="3" t="s">
        <v>44</v>
      </c>
      <c r="F155" s="3" t="s">
        <v>45</v>
      </c>
      <c r="G155" s="2" t="s">
        <v>207</v>
      </c>
      <c r="H155" s="2" t="s">
        <v>1180</v>
      </c>
      <c r="I155" s="2" t="s">
        <v>1602</v>
      </c>
      <c r="J155" s="2" t="s">
        <v>1603</v>
      </c>
      <c r="K155" s="2" t="s">
        <v>1604</v>
      </c>
      <c r="L155" s="3"/>
      <c r="M155" s="3"/>
      <c r="N155" s="2"/>
      <c r="O155" s="2" t="s">
        <v>1605</v>
      </c>
      <c r="P155" s="2"/>
      <c r="Q155" s="2"/>
      <c r="R155" s="2"/>
      <c r="S155" s="4" t="s">
        <v>1606</v>
      </c>
      <c r="T155" s="2"/>
      <c r="U155" s="2">
        <v>5</v>
      </c>
      <c r="V155" s="2">
        <v>24</v>
      </c>
      <c r="W155" s="2"/>
      <c r="X155" s="5" t="s">
        <v>1081</v>
      </c>
      <c r="Y155" s="2" t="s">
        <v>118</v>
      </c>
      <c r="Z155" s="5" t="s">
        <v>1607</v>
      </c>
      <c r="AA155" s="2"/>
      <c r="AB155" s="2" t="s">
        <v>1608</v>
      </c>
      <c r="AC155" s="5"/>
      <c r="AD155" s="5" t="s">
        <v>1609</v>
      </c>
      <c r="AE155" s="3"/>
      <c r="AF155" s="6"/>
      <c r="AG155" s="7"/>
      <c r="AH155" s="2">
        <v>0</v>
      </c>
      <c r="AI155" s="7"/>
      <c r="AJ155" s="3"/>
      <c r="AK155" s="8"/>
      <c r="AL155" s="2" t="str">
        <f t="shared" si="2"/>
        <v>Abrir WhatsApp</v>
      </c>
      <c r="AM155" s="2" t="s">
        <v>1610</v>
      </c>
      <c r="AN155" s="2" t="s">
        <v>1611</v>
      </c>
      <c r="AO155" s="2" t="s">
        <v>1612</v>
      </c>
      <c r="AP155" s="2"/>
    </row>
    <row r="156" spans="1:42" ht="50" x14ac:dyDescent="0.35">
      <c r="A156" s="2">
        <v>155</v>
      </c>
      <c r="B156" s="2" t="s">
        <v>42</v>
      </c>
      <c r="C156" s="2">
        <v>3.5</v>
      </c>
      <c r="D156" s="3" t="s">
        <v>43</v>
      </c>
      <c r="E156" s="3" t="s">
        <v>44</v>
      </c>
      <c r="F156" s="3" t="s">
        <v>45</v>
      </c>
      <c r="G156" s="2" t="s">
        <v>207</v>
      </c>
      <c r="H156" s="2" t="s">
        <v>723</v>
      </c>
      <c r="I156" s="2" t="s">
        <v>1613</v>
      </c>
      <c r="J156" s="2" t="s">
        <v>1614</v>
      </c>
      <c r="K156" s="2" t="s">
        <v>726</v>
      </c>
      <c r="L156" s="3"/>
      <c r="M156" s="3"/>
      <c r="N156" s="2" t="s">
        <v>1615</v>
      </c>
      <c r="O156" s="2"/>
      <c r="P156" s="2"/>
      <c r="Q156" s="2" t="s">
        <v>1616</v>
      </c>
      <c r="R156" s="4" t="s">
        <v>1617</v>
      </c>
      <c r="S156" s="4" t="s">
        <v>731</v>
      </c>
      <c r="T156" s="4" t="s">
        <v>732</v>
      </c>
      <c r="U156" s="2"/>
      <c r="V156" s="2"/>
      <c r="W156" s="2"/>
      <c r="X156" s="5" t="s">
        <v>733</v>
      </c>
      <c r="Y156" s="2"/>
      <c r="Z156" s="5"/>
      <c r="AA156" s="2"/>
      <c r="AB156" s="2"/>
      <c r="AC156" s="5"/>
      <c r="AD156" s="5" t="s">
        <v>1618</v>
      </c>
      <c r="AE156" s="3"/>
      <c r="AF156" s="6"/>
      <c r="AG156" s="7"/>
      <c r="AH156" s="2">
        <v>0</v>
      </c>
      <c r="AI156" s="7"/>
      <c r="AJ156" s="3"/>
      <c r="AK156" s="8"/>
      <c r="AL156" s="2" t="str">
        <f t="shared" si="2"/>
        <v/>
      </c>
      <c r="AM156" s="2" t="s">
        <v>737</v>
      </c>
      <c r="AN156" s="2" t="s">
        <v>1619</v>
      </c>
      <c r="AO156" s="2" t="s">
        <v>1620</v>
      </c>
      <c r="AP156" s="2"/>
    </row>
    <row r="157" spans="1:42" ht="50" x14ac:dyDescent="0.35">
      <c r="A157" s="2">
        <v>156</v>
      </c>
      <c r="B157" s="2" t="s">
        <v>42</v>
      </c>
      <c r="C157" s="2">
        <v>3.5</v>
      </c>
      <c r="D157" s="3" t="s">
        <v>43</v>
      </c>
      <c r="E157" s="3" t="s">
        <v>44</v>
      </c>
      <c r="F157" s="3" t="s">
        <v>45</v>
      </c>
      <c r="G157" s="2" t="s">
        <v>393</v>
      </c>
      <c r="H157" s="2" t="s">
        <v>621</v>
      </c>
      <c r="I157" s="2" t="s">
        <v>621</v>
      </c>
      <c r="J157" s="2" t="s">
        <v>1621</v>
      </c>
      <c r="K157" s="2" t="s">
        <v>1622</v>
      </c>
      <c r="L157" s="3"/>
      <c r="M157" s="3"/>
      <c r="N157" s="2" t="s">
        <v>1623</v>
      </c>
      <c r="O157" s="2"/>
      <c r="P157" s="2"/>
      <c r="Q157" s="2" t="s">
        <v>1624</v>
      </c>
      <c r="R157" s="4" t="s">
        <v>1625</v>
      </c>
      <c r="S157" s="4" t="s">
        <v>1626</v>
      </c>
      <c r="T157" s="2"/>
      <c r="U157" s="2" t="s">
        <v>1627</v>
      </c>
      <c r="V157" s="2">
        <v>8</v>
      </c>
      <c r="W157" s="2"/>
      <c r="X157" s="5" t="s">
        <v>319</v>
      </c>
      <c r="Y157" s="2" t="s">
        <v>66</v>
      </c>
      <c r="Z157" s="5" t="s">
        <v>1628</v>
      </c>
      <c r="AA157" s="2"/>
      <c r="AB157" s="2" t="s">
        <v>1629</v>
      </c>
      <c r="AC157" s="5" t="s">
        <v>1349</v>
      </c>
      <c r="AD157" s="5" t="s">
        <v>1630</v>
      </c>
      <c r="AE157" s="3"/>
      <c r="AF157" s="6"/>
      <c r="AG157" s="7"/>
      <c r="AH157" s="2">
        <v>0</v>
      </c>
      <c r="AI157" s="7"/>
      <c r="AJ157" s="3"/>
      <c r="AK157" s="8"/>
      <c r="AL157" s="2" t="str">
        <f t="shared" si="2"/>
        <v/>
      </c>
      <c r="AM157" s="2"/>
      <c r="AN157" s="2" t="s">
        <v>1631</v>
      </c>
      <c r="AO157" s="2" t="s">
        <v>1632</v>
      </c>
      <c r="AP157" s="2"/>
    </row>
    <row r="158" spans="1:42" x14ac:dyDescent="0.35">
      <c r="A158" s="2">
        <v>157</v>
      </c>
      <c r="B158" s="2" t="s">
        <v>42</v>
      </c>
      <c r="C158" s="2">
        <v>3.5</v>
      </c>
      <c r="D158" s="3" t="s">
        <v>43</v>
      </c>
      <c r="E158" s="3" t="s">
        <v>44</v>
      </c>
      <c r="F158" s="3" t="s">
        <v>45</v>
      </c>
      <c r="G158" s="2" t="s">
        <v>1159</v>
      </c>
      <c r="H158" s="2" t="s">
        <v>1633</v>
      </c>
      <c r="I158" s="2" t="s">
        <v>1633</v>
      </c>
      <c r="J158" s="2" t="s">
        <v>1634</v>
      </c>
      <c r="K158" s="2" t="s">
        <v>1445</v>
      </c>
      <c r="L158" s="3"/>
      <c r="M158" s="3"/>
      <c r="N158" s="2" t="s">
        <v>1446</v>
      </c>
      <c r="O158" s="2"/>
      <c r="P158" s="2"/>
      <c r="Q158" s="2"/>
      <c r="R158" s="2"/>
      <c r="S158" s="2"/>
      <c r="T158" s="2"/>
      <c r="U158" s="2"/>
      <c r="V158" s="2"/>
      <c r="W158" s="2"/>
      <c r="X158" s="5"/>
      <c r="Y158" s="2"/>
      <c r="Z158" s="5"/>
      <c r="AA158" s="2">
        <v>133</v>
      </c>
      <c r="AB158" s="2"/>
      <c r="AC158" s="5"/>
      <c r="AD158" s="5" t="s">
        <v>1635</v>
      </c>
      <c r="AE158" s="3"/>
      <c r="AF158" s="6"/>
      <c r="AG158" s="7"/>
      <c r="AH158" s="2">
        <v>0</v>
      </c>
      <c r="AI158" s="7"/>
      <c r="AJ158" s="3"/>
      <c r="AK158" s="8"/>
      <c r="AL158" s="2" t="str">
        <f t="shared" si="2"/>
        <v/>
      </c>
      <c r="AM158" s="2"/>
      <c r="AN158" s="2" t="s">
        <v>1636</v>
      </c>
      <c r="AO158" s="2" t="s">
        <v>1637</v>
      </c>
      <c r="AP158" s="2"/>
    </row>
    <row r="159" spans="1:42" ht="25" x14ac:dyDescent="0.35">
      <c r="A159" s="2">
        <v>158</v>
      </c>
      <c r="B159" s="2" t="s">
        <v>42</v>
      </c>
      <c r="C159" s="2">
        <v>3.4</v>
      </c>
      <c r="D159" s="3" t="s">
        <v>43</v>
      </c>
      <c r="E159" s="3" t="s">
        <v>44</v>
      </c>
      <c r="F159" s="3" t="s">
        <v>679</v>
      </c>
      <c r="G159" s="2" t="s">
        <v>46</v>
      </c>
      <c r="H159" s="2" t="s">
        <v>46</v>
      </c>
      <c r="I159" s="2" t="s">
        <v>1638</v>
      </c>
      <c r="J159" s="2" t="s">
        <v>1639</v>
      </c>
      <c r="K159" s="2"/>
      <c r="L159" s="3"/>
      <c r="M159" s="3"/>
      <c r="N159" s="2" t="s">
        <v>1640</v>
      </c>
      <c r="O159" s="2" t="s">
        <v>1641</v>
      </c>
      <c r="P159" s="2"/>
      <c r="Q159" s="2"/>
      <c r="R159" s="2"/>
      <c r="S159" s="4" t="s">
        <v>1642</v>
      </c>
      <c r="T159" s="2"/>
      <c r="U159" s="2"/>
      <c r="V159" s="2"/>
      <c r="W159" s="2"/>
      <c r="X159" s="5"/>
      <c r="Y159" s="2"/>
      <c r="Z159" s="5"/>
      <c r="AA159" s="2">
        <v>345</v>
      </c>
      <c r="AB159" s="2"/>
      <c r="AC159" s="5"/>
      <c r="AD159" s="5" t="s">
        <v>1643</v>
      </c>
      <c r="AE159" s="3"/>
      <c r="AF159" s="6"/>
      <c r="AG159" s="7"/>
      <c r="AH159" s="2">
        <v>0</v>
      </c>
      <c r="AI159" s="7"/>
      <c r="AJ159" s="3"/>
      <c r="AK159" s="8"/>
      <c r="AL159" s="2" t="str">
        <f t="shared" si="2"/>
        <v>Abrir WhatsApp</v>
      </c>
      <c r="AM159" s="2"/>
      <c r="AN159" s="2" t="s">
        <v>1644</v>
      </c>
      <c r="AO159" s="2" t="s">
        <v>1645</v>
      </c>
      <c r="AP159" s="2"/>
    </row>
    <row r="160" spans="1:42" ht="37.5" x14ac:dyDescent="0.35">
      <c r="A160" s="2">
        <v>159</v>
      </c>
      <c r="B160" s="2" t="s">
        <v>42</v>
      </c>
      <c r="C160" s="2">
        <v>3.4</v>
      </c>
      <c r="D160" s="3" t="s">
        <v>43</v>
      </c>
      <c r="E160" s="3" t="s">
        <v>44</v>
      </c>
      <c r="F160" s="3" t="s">
        <v>679</v>
      </c>
      <c r="G160" s="2" t="s">
        <v>46</v>
      </c>
      <c r="H160" s="2" t="s">
        <v>47</v>
      </c>
      <c r="I160" s="2" t="s">
        <v>47</v>
      </c>
      <c r="J160" s="2" t="s">
        <v>1646</v>
      </c>
      <c r="K160" s="2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"/>
      <c r="Y160" s="2"/>
      <c r="Z160" s="5"/>
      <c r="AA160" s="2">
        <v>340</v>
      </c>
      <c r="AB160" s="2"/>
      <c r="AC160" s="5"/>
      <c r="AD160" s="5" t="s">
        <v>1647</v>
      </c>
      <c r="AE160" s="3"/>
      <c r="AF160" s="6"/>
      <c r="AG160" s="7"/>
      <c r="AH160" s="2">
        <v>0</v>
      </c>
      <c r="AI160" s="7"/>
      <c r="AJ160" s="3"/>
      <c r="AK160" s="8"/>
      <c r="AL160" s="2" t="str">
        <f t="shared" si="2"/>
        <v/>
      </c>
      <c r="AM160" s="2"/>
      <c r="AN160" s="2" t="s">
        <v>1648</v>
      </c>
      <c r="AO160" s="2" t="s">
        <v>1649</v>
      </c>
      <c r="AP160" s="2"/>
    </row>
    <row r="161" spans="1:42" ht="25" x14ac:dyDescent="0.35">
      <c r="A161" s="2">
        <v>160</v>
      </c>
      <c r="B161" s="2" t="s">
        <v>42</v>
      </c>
      <c r="C161" s="2">
        <v>3.4</v>
      </c>
      <c r="D161" s="3" t="s">
        <v>43</v>
      </c>
      <c r="E161" s="3" t="s">
        <v>44</v>
      </c>
      <c r="F161" s="3" t="s">
        <v>679</v>
      </c>
      <c r="G161" s="2" t="s">
        <v>126</v>
      </c>
      <c r="H161" s="2" t="s">
        <v>241</v>
      </c>
      <c r="I161" s="2" t="s">
        <v>1650</v>
      </c>
      <c r="J161" s="2" t="s">
        <v>1651</v>
      </c>
      <c r="K161" s="2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"/>
      <c r="Y161" s="2"/>
      <c r="Z161" s="5"/>
      <c r="AA161" s="2">
        <v>467</v>
      </c>
      <c r="AB161" s="2"/>
      <c r="AC161" s="5"/>
      <c r="AD161" s="5" t="s">
        <v>1652</v>
      </c>
      <c r="AE161" s="3"/>
      <c r="AF161" s="6"/>
      <c r="AG161" s="7"/>
      <c r="AH161" s="2">
        <v>0</v>
      </c>
      <c r="AI161" s="7"/>
      <c r="AJ161" s="3"/>
      <c r="AK161" s="8"/>
      <c r="AL161" s="2" t="str">
        <f t="shared" si="2"/>
        <v/>
      </c>
      <c r="AM161" s="2"/>
      <c r="AN161" s="2" t="s">
        <v>1653</v>
      </c>
      <c r="AO161" s="2" t="s">
        <v>1654</v>
      </c>
      <c r="AP161" s="2"/>
    </row>
    <row r="162" spans="1:42" ht="62.5" x14ac:dyDescent="0.35">
      <c r="A162" s="2">
        <v>161</v>
      </c>
      <c r="B162" s="2" t="s">
        <v>42</v>
      </c>
      <c r="C162" s="2">
        <v>3.4</v>
      </c>
      <c r="D162" s="3" t="s">
        <v>43</v>
      </c>
      <c r="E162" s="3" t="s">
        <v>44</v>
      </c>
      <c r="F162" s="3" t="s">
        <v>679</v>
      </c>
      <c r="G162" s="2" t="s">
        <v>107</v>
      </c>
      <c r="H162" s="2" t="s">
        <v>107</v>
      </c>
      <c r="I162" s="2" t="s">
        <v>107</v>
      </c>
      <c r="J162" s="2" t="s">
        <v>1655</v>
      </c>
      <c r="K162" s="2"/>
      <c r="L162" s="3"/>
      <c r="M162" s="3"/>
      <c r="N162" s="2" t="s">
        <v>1656</v>
      </c>
      <c r="O162" s="2"/>
      <c r="P162" s="2" t="s">
        <v>130</v>
      </c>
      <c r="Q162" s="2" t="s">
        <v>1657</v>
      </c>
      <c r="R162" s="4" t="s">
        <v>1658</v>
      </c>
      <c r="S162" s="4" t="s">
        <v>1659</v>
      </c>
      <c r="T162" s="4" t="s">
        <v>1660</v>
      </c>
      <c r="U162" s="2">
        <v>4.5</v>
      </c>
      <c r="V162" s="2">
        <v>24</v>
      </c>
      <c r="W162" s="2"/>
      <c r="X162" s="5" t="s">
        <v>1661</v>
      </c>
      <c r="Y162" s="2" t="s">
        <v>66</v>
      </c>
      <c r="Z162" s="5" t="s">
        <v>1662</v>
      </c>
      <c r="AA162" s="2">
        <v>468</v>
      </c>
      <c r="AB162" s="2"/>
      <c r="AC162" s="5" t="s">
        <v>1663</v>
      </c>
      <c r="AD162" s="5" t="s">
        <v>1664</v>
      </c>
      <c r="AE162" s="3"/>
      <c r="AF162" s="6"/>
      <c r="AG162" s="7"/>
      <c r="AH162" s="2">
        <v>0</v>
      </c>
      <c r="AI162" s="7"/>
      <c r="AJ162" s="3"/>
      <c r="AK162" s="8"/>
      <c r="AL162" s="2" t="str">
        <f t="shared" si="2"/>
        <v/>
      </c>
      <c r="AM162" s="2" t="s">
        <v>1665</v>
      </c>
      <c r="AN162" s="2" t="s">
        <v>1666</v>
      </c>
      <c r="AO162" s="2" t="s">
        <v>1667</v>
      </c>
      <c r="AP162" s="2"/>
    </row>
    <row r="163" spans="1:42" ht="62.5" x14ac:dyDescent="0.35">
      <c r="A163" s="2">
        <v>162</v>
      </c>
      <c r="B163" s="2" t="s">
        <v>42</v>
      </c>
      <c r="C163" s="2">
        <v>3.4</v>
      </c>
      <c r="D163" s="3" t="s">
        <v>43</v>
      </c>
      <c r="E163" s="3" t="s">
        <v>44</v>
      </c>
      <c r="F163" s="3" t="s">
        <v>45</v>
      </c>
      <c r="G163" s="2" t="s">
        <v>393</v>
      </c>
      <c r="H163" s="2" t="s">
        <v>1668</v>
      </c>
      <c r="I163" s="2" t="s">
        <v>1668</v>
      </c>
      <c r="J163" s="2" t="s">
        <v>1669</v>
      </c>
      <c r="K163" s="2" t="s">
        <v>1670</v>
      </c>
      <c r="L163" s="3"/>
      <c r="M163" s="3"/>
      <c r="N163" s="2" t="s">
        <v>1671</v>
      </c>
      <c r="O163" s="2"/>
      <c r="P163" s="2"/>
      <c r="Q163" s="2"/>
      <c r="R163" s="2"/>
      <c r="S163" s="2"/>
      <c r="T163" s="2"/>
      <c r="U163" s="2"/>
      <c r="V163" s="2"/>
      <c r="W163" s="2"/>
      <c r="X163" s="5"/>
      <c r="Y163" s="2"/>
      <c r="Z163" s="5"/>
      <c r="AA163" s="2">
        <v>107</v>
      </c>
      <c r="AB163" s="2"/>
      <c r="AC163" s="5"/>
      <c r="AD163" s="5" t="s">
        <v>1672</v>
      </c>
      <c r="AE163" s="3"/>
      <c r="AF163" s="6"/>
      <c r="AG163" s="7"/>
      <c r="AH163" s="2">
        <v>0</v>
      </c>
      <c r="AI163" s="7"/>
      <c r="AJ163" s="3"/>
      <c r="AK163" s="8"/>
      <c r="AL163" s="2" t="str">
        <f t="shared" si="2"/>
        <v/>
      </c>
      <c r="AM163" s="2"/>
      <c r="AN163" s="2" t="s">
        <v>1673</v>
      </c>
      <c r="AO163" s="2" t="s">
        <v>1674</v>
      </c>
      <c r="AP163" s="2"/>
    </row>
    <row r="164" spans="1:42" ht="37.5" x14ac:dyDescent="0.35">
      <c r="A164" s="2">
        <v>163</v>
      </c>
      <c r="B164" s="2" t="s">
        <v>42</v>
      </c>
      <c r="C164" s="2">
        <v>3.4</v>
      </c>
      <c r="D164" s="3" t="s">
        <v>43</v>
      </c>
      <c r="E164" s="3" t="s">
        <v>44</v>
      </c>
      <c r="F164" s="3" t="s">
        <v>45</v>
      </c>
      <c r="G164" s="2" t="s">
        <v>393</v>
      </c>
      <c r="H164" s="2" t="s">
        <v>1675</v>
      </c>
      <c r="I164" s="2" t="s">
        <v>1675</v>
      </c>
      <c r="J164" s="2" t="s">
        <v>1676</v>
      </c>
      <c r="K164" s="2" t="s">
        <v>1677</v>
      </c>
      <c r="L164" s="3"/>
      <c r="M164" s="3"/>
      <c r="N164" s="2" t="s">
        <v>1678</v>
      </c>
      <c r="O164" s="2"/>
      <c r="P164" s="2"/>
      <c r="Q164" s="2"/>
      <c r="R164" s="4" t="s">
        <v>1679</v>
      </c>
      <c r="S164" s="2"/>
      <c r="T164" s="2"/>
      <c r="U164" s="2" t="s">
        <v>1680</v>
      </c>
      <c r="V164" s="2">
        <v>3</v>
      </c>
      <c r="W164" s="2"/>
      <c r="X164" s="5"/>
      <c r="Y164" s="2"/>
      <c r="Z164" s="5"/>
      <c r="AA164" s="2">
        <v>95</v>
      </c>
      <c r="AB164" s="2"/>
      <c r="AC164" s="5"/>
      <c r="AD164" s="5" t="s">
        <v>1681</v>
      </c>
      <c r="AE164" s="3"/>
      <c r="AF164" s="6"/>
      <c r="AG164" s="7"/>
      <c r="AH164" s="2">
        <v>0</v>
      </c>
      <c r="AI164" s="7"/>
      <c r="AJ164" s="3"/>
      <c r="AK164" s="8"/>
      <c r="AL164" s="2" t="str">
        <f t="shared" si="2"/>
        <v/>
      </c>
      <c r="AM164" s="2"/>
      <c r="AN164" s="2" t="s">
        <v>1682</v>
      </c>
      <c r="AO164" s="2" t="s">
        <v>1683</v>
      </c>
      <c r="AP164" s="2"/>
    </row>
    <row r="165" spans="1:42" x14ac:dyDescent="0.35">
      <c r="A165" s="2">
        <v>164</v>
      </c>
      <c r="B165" s="2" t="s">
        <v>42</v>
      </c>
      <c r="C165" s="2">
        <v>3.4</v>
      </c>
      <c r="D165" s="3" t="s">
        <v>43</v>
      </c>
      <c r="E165" s="3" t="s">
        <v>44</v>
      </c>
      <c r="F165" s="3" t="s">
        <v>45</v>
      </c>
      <c r="G165" s="2" t="s">
        <v>393</v>
      </c>
      <c r="H165" s="2" t="s">
        <v>1341</v>
      </c>
      <c r="I165" s="2" t="s">
        <v>1341</v>
      </c>
      <c r="J165" s="2" t="s">
        <v>1684</v>
      </c>
      <c r="K165" s="2" t="s">
        <v>1685</v>
      </c>
      <c r="L165" s="3"/>
      <c r="M165" s="3"/>
      <c r="N165" s="2" t="s">
        <v>1686</v>
      </c>
      <c r="O165" s="2"/>
      <c r="P165" s="2"/>
      <c r="Q165" s="2" t="s">
        <v>1687</v>
      </c>
      <c r="R165" s="2" t="s">
        <v>1688</v>
      </c>
      <c r="S165" s="4" t="s">
        <v>1347</v>
      </c>
      <c r="T165" s="2"/>
      <c r="U165" s="2"/>
      <c r="V165" s="2"/>
      <c r="W165" s="2"/>
      <c r="X165" s="5" t="s">
        <v>319</v>
      </c>
      <c r="Y165" s="2"/>
      <c r="Z165" s="5"/>
      <c r="AA165" s="2">
        <v>97</v>
      </c>
      <c r="AB165" s="2"/>
      <c r="AC165" s="5"/>
      <c r="AD165" s="5" t="s">
        <v>1689</v>
      </c>
      <c r="AE165" s="3"/>
      <c r="AF165" s="6"/>
      <c r="AG165" s="7"/>
      <c r="AH165" s="2">
        <v>0</v>
      </c>
      <c r="AI165" s="7"/>
      <c r="AJ165" s="3"/>
      <c r="AK165" s="8"/>
      <c r="AL165" s="2" t="str">
        <f t="shared" si="2"/>
        <v/>
      </c>
      <c r="AM165" s="2"/>
      <c r="AN165" s="2" t="s">
        <v>1690</v>
      </c>
      <c r="AO165" s="2" t="s">
        <v>1691</v>
      </c>
      <c r="AP165" s="2"/>
    </row>
    <row r="166" spans="1:42" x14ac:dyDescent="0.35">
      <c r="A166" s="2">
        <v>165</v>
      </c>
      <c r="B166" s="2" t="s">
        <v>42</v>
      </c>
      <c r="C166" s="2">
        <v>3.4</v>
      </c>
      <c r="D166" s="3" t="s">
        <v>43</v>
      </c>
      <c r="E166" s="3" t="s">
        <v>44</v>
      </c>
      <c r="F166" s="3" t="s">
        <v>45</v>
      </c>
      <c r="G166" s="2" t="s">
        <v>393</v>
      </c>
      <c r="H166" s="2" t="s">
        <v>1692</v>
      </c>
      <c r="I166" s="2" t="s">
        <v>1692</v>
      </c>
      <c r="J166" s="2" t="s">
        <v>1693</v>
      </c>
      <c r="K166" s="2" t="s">
        <v>1685</v>
      </c>
      <c r="L166" s="3"/>
      <c r="M166" s="3"/>
      <c r="N166" s="2" t="s">
        <v>1694</v>
      </c>
      <c r="O166" s="2"/>
      <c r="P166" s="2"/>
      <c r="Q166" s="2" t="s">
        <v>1345</v>
      </c>
      <c r="R166" s="2" t="s">
        <v>1688</v>
      </c>
      <c r="S166" s="2"/>
      <c r="T166" s="2"/>
      <c r="U166" s="2"/>
      <c r="V166" s="2"/>
      <c r="W166" s="2"/>
      <c r="X166" s="5" t="s">
        <v>319</v>
      </c>
      <c r="Y166" s="2"/>
      <c r="Z166" s="5"/>
      <c r="AA166" s="2">
        <v>95</v>
      </c>
      <c r="AB166" s="2"/>
      <c r="AC166" s="5"/>
      <c r="AD166" s="5" t="s">
        <v>1689</v>
      </c>
      <c r="AE166" s="3"/>
      <c r="AF166" s="6"/>
      <c r="AG166" s="7"/>
      <c r="AH166" s="2">
        <v>0</v>
      </c>
      <c r="AI166" s="7"/>
      <c r="AJ166" s="3"/>
      <c r="AK166" s="8"/>
      <c r="AL166" s="2" t="str">
        <f t="shared" si="2"/>
        <v/>
      </c>
      <c r="AM166" s="2"/>
      <c r="AN166" s="2" t="s">
        <v>1695</v>
      </c>
      <c r="AO166" s="2" t="s">
        <v>1696</v>
      </c>
      <c r="AP166" s="2"/>
    </row>
    <row r="167" spans="1:42" ht="62.5" x14ac:dyDescent="0.35">
      <c r="A167" s="2">
        <v>166</v>
      </c>
      <c r="B167" s="2" t="s">
        <v>42</v>
      </c>
      <c r="C167" s="2">
        <v>3.4</v>
      </c>
      <c r="D167" s="3" t="s">
        <v>43</v>
      </c>
      <c r="E167" s="3" t="s">
        <v>44</v>
      </c>
      <c r="F167" s="3" t="s">
        <v>679</v>
      </c>
      <c r="G167" s="2" t="s">
        <v>393</v>
      </c>
      <c r="H167" s="2" t="s">
        <v>1320</v>
      </c>
      <c r="I167" s="2" t="s">
        <v>1320</v>
      </c>
      <c r="J167" s="2" t="s">
        <v>1697</v>
      </c>
      <c r="K167" s="2"/>
      <c r="L167" s="3"/>
      <c r="M167" s="3"/>
      <c r="N167" s="2" t="s">
        <v>1698</v>
      </c>
      <c r="O167" s="2" t="s">
        <v>1699</v>
      </c>
      <c r="P167" s="2"/>
      <c r="Q167" s="2"/>
      <c r="R167" s="2"/>
      <c r="S167" s="4" t="s">
        <v>1700</v>
      </c>
      <c r="T167" s="4" t="s">
        <v>1701</v>
      </c>
      <c r="U167" s="2">
        <v>3.1</v>
      </c>
      <c r="V167" s="2">
        <v>7</v>
      </c>
      <c r="W167" s="2"/>
      <c r="X167" s="5" t="s">
        <v>747</v>
      </c>
      <c r="Y167" s="2" t="s">
        <v>66</v>
      </c>
      <c r="Z167" s="5" t="s">
        <v>653</v>
      </c>
      <c r="AA167" s="2">
        <v>234</v>
      </c>
      <c r="AB167" s="2"/>
      <c r="AC167" s="5" t="s">
        <v>1702</v>
      </c>
      <c r="AD167" s="5" t="s">
        <v>1703</v>
      </c>
      <c r="AE167" s="3"/>
      <c r="AF167" s="6"/>
      <c r="AG167" s="7"/>
      <c r="AH167" s="2">
        <v>0</v>
      </c>
      <c r="AI167" s="7"/>
      <c r="AJ167" s="3"/>
      <c r="AK167" s="8"/>
      <c r="AL167" s="2" t="str">
        <f t="shared" si="2"/>
        <v>Abrir WhatsApp</v>
      </c>
      <c r="AM167" s="2" t="s">
        <v>1704</v>
      </c>
      <c r="AN167" s="2" t="s">
        <v>1705</v>
      </c>
      <c r="AO167" s="2" t="s">
        <v>1706</v>
      </c>
      <c r="AP167" s="2"/>
    </row>
    <row r="168" spans="1:42" ht="50" x14ac:dyDescent="0.35">
      <c r="A168" s="2">
        <v>167</v>
      </c>
      <c r="B168" s="2" t="s">
        <v>42</v>
      </c>
      <c r="C168" s="2">
        <v>3.4</v>
      </c>
      <c r="D168" s="3" t="s">
        <v>43</v>
      </c>
      <c r="E168" s="3" t="s">
        <v>44</v>
      </c>
      <c r="F168" s="3" t="s">
        <v>45</v>
      </c>
      <c r="G168" s="2" t="s">
        <v>991</v>
      </c>
      <c r="H168" s="2" t="s">
        <v>1148</v>
      </c>
      <c r="I168" s="2" t="s">
        <v>1707</v>
      </c>
      <c r="J168" s="2" t="s">
        <v>1708</v>
      </c>
      <c r="K168" s="2" t="s">
        <v>1368</v>
      </c>
      <c r="L168" s="3"/>
      <c r="M168" s="3"/>
      <c r="N168" s="2" t="s">
        <v>1709</v>
      </c>
      <c r="O168" s="2"/>
      <c r="P168" s="2"/>
      <c r="Q168" s="2"/>
      <c r="R168" s="2"/>
      <c r="S168" s="2"/>
      <c r="T168" s="2"/>
      <c r="U168" s="2"/>
      <c r="V168" s="2"/>
      <c r="W168" s="2"/>
      <c r="X168" s="5"/>
      <c r="Y168" s="2"/>
      <c r="Z168" s="5"/>
      <c r="AA168" s="2">
        <v>108</v>
      </c>
      <c r="AB168" s="2"/>
      <c r="AC168" s="5"/>
      <c r="AD168" s="5" t="s">
        <v>1710</v>
      </c>
      <c r="AE168" s="3"/>
      <c r="AF168" s="6"/>
      <c r="AG168" s="7"/>
      <c r="AH168" s="2">
        <v>0</v>
      </c>
      <c r="AI168" s="7"/>
      <c r="AJ168" s="3"/>
      <c r="AK168" s="8"/>
      <c r="AL168" s="2" t="str">
        <f t="shared" si="2"/>
        <v/>
      </c>
      <c r="AM168" s="2"/>
      <c r="AN168" s="2" t="s">
        <v>1711</v>
      </c>
      <c r="AO168" s="2" t="s">
        <v>1712</v>
      </c>
      <c r="AP168" s="2"/>
    </row>
    <row r="169" spans="1:42" ht="37.5" x14ac:dyDescent="0.35">
      <c r="A169" s="2">
        <v>168</v>
      </c>
      <c r="B169" s="2" t="s">
        <v>42</v>
      </c>
      <c r="C169" s="2">
        <v>3.4</v>
      </c>
      <c r="D169" s="3" t="s">
        <v>43</v>
      </c>
      <c r="E169" s="3" t="s">
        <v>44</v>
      </c>
      <c r="F169" s="3" t="s">
        <v>45</v>
      </c>
      <c r="G169" s="2" t="s">
        <v>991</v>
      </c>
      <c r="H169" s="2" t="s">
        <v>1713</v>
      </c>
      <c r="I169" s="2" t="s">
        <v>1713</v>
      </c>
      <c r="J169" s="2" t="s">
        <v>1714</v>
      </c>
      <c r="K169" s="2" t="s">
        <v>1368</v>
      </c>
      <c r="L169" s="3"/>
      <c r="M169" s="3"/>
      <c r="N169" s="2" t="s">
        <v>1715</v>
      </c>
      <c r="O169" s="2"/>
      <c r="P169" s="2"/>
      <c r="Q169" s="2"/>
      <c r="R169" s="2"/>
      <c r="S169" s="4" t="s">
        <v>1716</v>
      </c>
      <c r="T169" s="2"/>
      <c r="U169" s="2"/>
      <c r="V169" s="2"/>
      <c r="W169" s="2"/>
      <c r="X169" s="5"/>
      <c r="Y169" s="2"/>
      <c r="Z169" s="5"/>
      <c r="AA169" s="2">
        <v>106</v>
      </c>
      <c r="AB169" s="2"/>
      <c r="AC169" s="5"/>
      <c r="AD169" s="5" t="s">
        <v>1717</v>
      </c>
      <c r="AE169" s="3"/>
      <c r="AF169" s="6"/>
      <c r="AG169" s="7"/>
      <c r="AH169" s="2">
        <v>0</v>
      </c>
      <c r="AI169" s="7"/>
      <c r="AJ169" s="3"/>
      <c r="AK169" s="8"/>
      <c r="AL169" s="2" t="str">
        <f t="shared" si="2"/>
        <v/>
      </c>
      <c r="AM169" s="2"/>
      <c r="AN169" s="2" t="s">
        <v>1718</v>
      </c>
      <c r="AO169" s="2" t="s">
        <v>1719</v>
      </c>
      <c r="AP169" s="2"/>
    </row>
    <row r="170" spans="1:42" ht="25" x14ac:dyDescent="0.35">
      <c r="A170" s="2">
        <v>169</v>
      </c>
      <c r="B170" s="2" t="s">
        <v>42</v>
      </c>
      <c r="C170" s="2">
        <v>3.4</v>
      </c>
      <c r="D170" s="3" t="s">
        <v>43</v>
      </c>
      <c r="E170" s="3" t="s">
        <v>44</v>
      </c>
      <c r="F170" s="3" t="s">
        <v>45</v>
      </c>
      <c r="G170" s="2" t="s">
        <v>1159</v>
      </c>
      <c r="H170" s="2" t="s">
        <v>1720</v>
      </c>
      <c r="I170" s="2" t="s">
        <v>1720</v>
      </c>
      <c r="J170" s="2" t="s">
        <v>1721</v>
      </c>
      <c r="K170" s="2" t="s">
        <v>1722</v>
      </c>
      <c r="L170" s="3"/>
      <c r="M170" s="3"/>
      <c r="N170" s="2"/>
      <c r="O170" s="2"/>
      <c r="P170" s="2"/>
      <c r="Q170" s="2"/>
      <c r="R170" s="4" t="s">
        <v>1723</v>
      </c>
      <c r="S170" s="4" t="s">
        <v>1724</v>
      </c>
      <c r="T170" s="2"/>
      <c r="U170" s="2"/>
      <c r="V170" s="2"/>
      <c r="W170" s="2"/>
      <c r="X170" s="5"/>
      <c r="Y170" s="2"/>
      <c r="Z170" s="5"/>
      <c r="AA170" s="2">
        <v>94</v>
      </c>
      <c r="AB170" s="2"/>
      <c r="AC170" s="5"/>
      <c r="AD170" s="5" t="s">
        <v>1725</v>
      </c>
      <c r="AE170" s="3"/>
      <c r="AF170" s="6"/>
      <c r="AG170" s="7"/>
      <c r="AH170" s="2">
        <v>0</v>
      </c>
      <c r="AI170" s="7"/>
      <c r="AJ170" s="3"/>
      <c r="AK170" s="8"/>
      <c r="AL170" s="2" t="str">
        <f t="shared" si="2"/>
        <v/>
      </c>
      <c r="AM170" s="2"/>
      <c r="AN170" s="2" t="s">
        <v>1726</v>
      </c>
      <c r="AO170" s="2" t="s">
        <v>1727</v>
      </c>
      <c r="AP170" s="2"/>
    </row>
    <row r="171" spans="1:42" ht="25" x14ac:dyDescent="0.35">
      <c r="A171" s="2">
        <v>170</v>
      </c>
      <c r="B171" s="2" t="s">
        <v>42</v>
      </c>
      <c r="C171" s="2">
        <v>3.3</v>
      </c>
      <c r="D171" s="3" t="s">
        <v>43</v>
      </c>
      <c r="E171" s="3" t="s">
        <v>44</v>
      </c>
      <c r="F171" s="3" t="s">
        <v>679</v>
      </c>
      <c r="G171" s="2" t="s">
        <v>46</v>
      </c>
      <c r="H171" s="2" t="s">
        <v>1728</v>
      </c>
      <c r="I171" s="2" t="s">
        <v>1728</v>
      </c>
      <c r="J171" s="2" t="s">
        <v>1729</v>
      </c>
      <c r="K171" s="2"/>
      <c r="L171" s="3"/>
      <c r="M171" s="3"/>
      <c r="N171" s="2" t="s">
        <v>1730</v>
      </c>
      <c r="O171" s="2"/>
      <c r="P171" s="2"/>
      <c r="Q171" s="2"/>
      <c r="R171" s="2"/>
      <c r="S171" s="2"/>
      <c r="T171" s="2"/>
      <c r="U171" s="2">
        <v>5</v>
      </c>
      <c r="V171" s="2">
        <v>9</v>
      </c>
      <c r="W171" s="2"/>
      <c r="X171" s="5"/>
      <c r="Y171" s="2" t="s">
        <v>66</v>
      </c>
      <c r="Z171" s="5" t="s">
        <v>1731</v>
      </c>
      <c r="AA171" s="2">
        <v>319</v>
      </c>
      <c r="AB171" s="2"/>
      <c r="AC171" s="5"/>
      <c r="AD171" s="5" t="s">
        <v>1732</v>
      </c>
      <c r="AE171" s="3"/>
      <c r="AF171" s="6"/>
      <c r="AG171" s="7"/>
      <c r="AH171" s="2">
        <v>0</v>
      </c>
      <c r="AI171" s="7"/>
      <c r="AJ171" s="3"/>
      <c r="AK171" s="8"/>
      <c r="AL171" s="2" t="str">
        <f t="shared" si="2"/>
        <v/>
      </c>
      <c r="AM171" s="2"/>
      <c r="AN171" s="2" t="s">
        <v>1733</v>
      </c>
      <c r="AO171" s="2" t="s">
        <v>1734</v>
      </c>
      <c r="AP171" s="2"/>
    </row>
    <row r="172" spans="1:42" ht="37.5" x14ac:dyDescent="0.35">
      <c r="A172" s="2">
        <v>171</v>
      </c>
      <c r="B172" s="2" t="s">
        <v>42</v>
      </c>
      <c r="C172" s="2">
        <v>3.3</v>
      </c>
      <c r="D172" s="3" t="s">
        <v>43</v>
      </c>
      <c r="E172" s="3" t="s">
        <v>44</v>
      </c>
      <c r="F172" s="3" t="s">
        <v>679</v>
      </c>
      <c r="G172" s="2" t="s">
        <v>46</v>
      </c>
      <c r="H172" s="2" t="s">
        <v>1735</v>
      </c>
      <c r="I172" s="2" t="s">
        <v>1735</v>
      </c>
      <c r="J172" s="2" t="s">
        <v>1736</v>
      </c>
      <c r="K172" s="2"/>
      <c r="L172" s="3"/>
      <c r="M172" s="3"/>
      <c r="N172" s="2" t="s">
        <v>1737</v>
      </c>
      <c r="O172" s="2"/>
      <c r="P172" s="2"/>
      <c r="Q172" s="2"/>
      <c r="R172" s="2"/>
      <c r="S172" s="2"/>
      <c r="T172" s="2"/>
      <c r="U172" s="2">
        <v>4.4000000000000004</v>
      </c>
      <c r="V172" s="2">
        <v>15</v>
      </c>
      <c r="W172" s="2"/>
      <c r="X172" s="5"/>
      <c r="Y172" s="2" t="s">
        <v>66</v>
      </c>
      <c r="Z172" s="5" t="s">
        <v>1738</v>
      </c>
      <c r="AA172" s="2">
        <v>324</v>
      </c>
      <c r="AB172" s="2"/>
      <c r="AC172" s="5"/>
      <c r="AD172" s="5" t="s">
        <v>1739</v>
      </c>
      <c r="AE172" s="3"/>
      <c r="AF172" s="6"/>
      <c r="AG172" s="7"/>
      <c r="AH172" s="2">
        <v>0</v>
      </c>
      <c r="AI172" s="7"/>
      <c r="AJ172" s="3"/>
      <c r="AK172" s="8"/>
      <c r="AL172" s="2" t="str">
        <f t="shared" si="2"/>
        <v/>
      </c>
      <c r="AM172" s="2"/>
      <c r="AN172" s="2" t="s">
        <v>1740</v>
      </c>
      <c r="AO172" s="2" t="s">
        <v>1741</v>
      </c>
      <c r="AP172" s="2"/>
    </row>
    <row r="173" spans="1:42" ht="50" x14ac:dyDescent="0.35">
      <c r="A173" s="2">
        <v>172</v>
      </c>
      <c r="B173" s="2" t="s">
        <v>42</v>
      </c>
      <c r="C173" s="2">
        <v>3.3</v>
      </c>
      <c r="D173" s="3" t="s">
        <v>43</v>
      </c>
      <c r="E173" s="3" t="s">
        <v>44</v>
      </c>
      <c r="F173" s="3" t="s">
        <v>679</v>
      </c>
      <c r="G173" s="2" t="s">
        <v>126</v>
      </c>
      <c r="H173" s="2" t="s">
        <v>790</v>
      </c>
      <c r="I173" s="2" t="s">
        <v>790</v>
      </c>
      <c r="J173" s="2" t="s">
        <v>1742</v>
      </c>
      <c r="K173" s="2"/>
      <c r="L173" s="3"/>
      <c r="M173" s="3"/>
      <c r="N173" s="2" t="s">
        <v>1743</v>
      </c>
      <c r="O173" s="2"/>
      <c r="P173" s="2"/>
      <c r="Q173" s="2"/>
      <c r="R173" s="2"/>
      <c r="S173" s="4" t="s">
        <v>1744</v>
      </c>
      <c r="T173" s="2"/>
      <c r="U173" s="2"/>
      <c r="V173" s="2"/>
      <c r="W173" s="2"/>
      <c r="X173" s="5"/>
      <c r="Y173" s="2"/>
      <c r="Z173" s="5"/>
      <c r="AA173" s="2">
        <v>462</v>
      </c>
      <c r="AB173" s="2"/>
      <c r="AC173" s="5"/>
      <c r="AD173" s="5" t="s">
        <v>1745</v>
      </c>
      <c r="AE173" s="3"/>
      <c r="AF173" s="6"/>
      <c r="AG173" s="7"/>
      <c r="AH173" s="2">
        <v>0</v>
      </c>
      <c r="AI173" s="7"/>
      <c r="AJ173" s="3"/>
      <c r="AK173" s="8"/>
      <c r="AL173" s="2" t="str">
        <f t="shared" si="2"/>
        <v/>
      </c>
      <c r="AM173" s="2"/>
      <c r="AN173" s="2" t="s">
        <v>1746</v>
      </c>
      <c r="AO173" s="2" t="s">
        <v>1747</v>
      </c>
      <c r="AP173" s="2"/>
    </row>
    <row r="174" spans="1:42" x14ac:dyDescent="0.35">
      <c r="A174" s="2">
        <v>173</v>
      </c>
      <c r="B174" s="2" t="s">
        <v>42</v>
      </c>
      <c r="C174" s="2">
        <v>3.3</v>
      </c>
      <c r="D174" s="3" t="s">
        <v>43</v>
      </c>
      <c r="E174" s="3" t="s">
        <v>44</v>
      </c>
      <c r="F174" s="3" t="s">
        <v>679</v>
      </c>
      <c r="G174" s="2" t="s">
        <v>74</v>
      </c>
      <c r="H174" s="2" t="s">
        <v>591</v>
      </c>
      <c r="I174" s="2" t="s">
        <v>591</v>
      </c>
      <c r="J174" s="2" t="s">
        <v>1748</v>
      </c>
      <c r="K174" s="2"/>
      <c r="L174" s="3"/>
      <c r="M174" s="3"/>
      <c r="N174" s="2" t="s">
        <v>1749</v>
      </c>
      <c r="O174" s="2"/>
      <c r="P174" s="2"/>
      <c r="Q174" s="2"/>
      <c r="R174" s="2"/>
      <c r="S174" s="4" t="s">
        <v>1750</v>
      </c>
      <c r="T174" s="2"/>
      <c r="U174" s="2"/>
      <c r="V174" s="2"/>
      <c r="W174" s="2"/>
      <c r="X174" s="5" t="s">
        <v>224</v>
      </c>
      <c r="Y174" s="2"/>
      <c r="Z174" s="5"/>
      <c r="AA174" s="2">
        <v>322</v>
      </c>
      <c r="AB174" s="2"/>
      <c r="AC174" s="5"/>
      <c r="AD174" s="5" t="s">
        <v>1751</v>
      </c>
      <c r="AE174" s="3"/>
      <c r="AF174" s="6"/>
      <c r="AG174" s="7"/>
      <c r="AH174" s="2">
        <v>0</v>
      </c>
      <c r="AI174" s="7"/>
      <c r="AJ174" s="3"/>
      <c r="AK174" s="8"/>
      <c r="AL174" s="2" t="str">
        <f t="shared" si="2"/>
        <v/>
      </c>
      <c r="AM174" s="2"/>
      <c r="AN174" s="2" t="s">
        <v>1752</v>
      </c>
      <c r="AO174" s="2" t="s">
        <v>1753</v>
      </c>
      <c r="AP174" s="2"/>
    </row>
    <row r="175" spans="1:42" ht="100" x14ac:dyDescent="0.35">
      <c r="A175" s="2">
        <v>174</v>
      </c>
      <c r="B175" s="2" t="s">
        <v>42</v>
      </c>
      <c r="C175" s="2">
        <v>3.3</v>
      </c>
      <c r="D175" s="3" t="s">
        <v>43</v>
      </c>
      <c r="E175" s="3" t="s">
        <v>44</v>
      </c>
      <c r="F175" s="3" t="s">
        <v>679</v>
      </c>
      <c r="G175" s="2" t="s">
        <v>207</v>
      </c>
      <c r="H175" s="2" t="s">
        <v>866</v>
      </c>
      <c r="I175" s="2" t="s">
        <v>866</v>
      </c>
      <c r="J175" s="2" t="s">
        <v>1754</v>
      </c>
      <c r="K175" s="2"/>
      <c r="L175" s="3"/>
      <c r="M175" s="3"/>
      <c r="N175" s="2" t="s">
        <v>1755</v>
      </c>
      <c r="O175" s="2"/>
      <c r="P175" s="2"/>
      <c r="Q175" s="2" t="s">
        <v>1756</v>
      </c>
      <c r="R175" s="2"/>
      <c r="S175" s="4" t="s">
        <v>1757</v>
      </c>
      <c r="T175" s="2"/>
      <c r="U175" s="2">
        <v>4</v>
      </c>
      <c r="V175" s="2">
        <v>8</v>
      </c>
      <c r="W175" s="2"/>
      <c r="X175" s="5" t="s">
        <v>1758</v>
      </c>
      <c r="Y175" s="2" t="s">
        <v>118</v>
      </c>
      <c r="Z175" s="5" t="s">
        <v>1759</v>
      </c>
      <c r="AA175" s="2">
        <v>327</v>
      </c>
      <c r="AB175" s="2"/>
      <c r="AC175" s="5" t="s">
        <v>1760</v>
      </c>
      <c r="AD175" s="5" t="s">
        <v>1761</v>
      </c>
      <c r="AE175" s="3"/>
      <c r="AF175" s="6"/>
      <c r="AG175" s="7"/>
      <c r="AH175" s="2">
        <v>0</v>
      </c>
      <c r="AI175" s="7"/>
      <c r="AJ175" s="3"/>
      <c r="AK175" s="8"/>
      <c r="AL175" s="2" t="str">
        <f t="shared" si="2"/>
        <v/>
      </c>
      <c r="AM175" s="2" t="s">
        <v>1186</v>
      </c>
      <c r="AN175" s="2" t="s">
        <v>1762</v>
      </c>
      <c r="AO175" s="2" t="s">
        <v>1763</v>
      </c>
      <c r="AP175" s="2"/>
    </row>
    <row r="176" spans="1:42" ht="50" x14ac:dyDescent="0.35">
      <c r="A176" s="2">
        <v>175</v>
      </c>
      <c r="B176" s="2" t="s">
        <v>42</v>
      </c>
      <c r="C176" s="2">
        <v>3.3</v>
      </c>
      <c r="D176" s="3" t="s">
        <v>43</v>
      </c>
      <c r="E176" s="3" t="s">
        <v>44</v>
      </c>
      <c r="F176" s="3" t="s">
        <v>45</v>
      </c>
      <c r="G176" s="2" t="s">
        <v>393</v>
      </c>
      <c r="H176" s="2" t="s">
        <v>1764</v>
      </c>
      <c r="I176" s="2" t="s">
        <v>1764</v>
      </c>
      <c r="J176" s="2" t="s">
        <v>1765</v>
      </c>
      <c r="K176" s="2" t="s">
        <v>1766</v>
      </c>
      <c r="L176" s="3"/>
      <c r="M176" s="3"/>
      <c r="N176" s="2" t="s">
        <v>1767</v>
      </c>
      <c r="O176" s="2" t="s">
        <v>1768</v>
      </c>
      <c r="P176" s="2"/>
      <c r="Q176" s="2" t="s">
        <v>1769</v>
      </c>
      <c r="R176" s="2"/>
      <c r="S176" s="4" t="s">
        <v>1770</v>
      </c>
      <c r="T176" s="2"/>
      <c r="U176" s="2" t="s">
        <v>1771</v>
      </c>
      <c r="V176" s="2">
        <v>5</v>
      </c>
      <c r="W176" s="2"/>
      <c r="X176" s="5"/>
      <c r="Y176" s="2" t="s">
        <v>66</v>
      </c>
      <c r="Z176" s="5" t="s">
        <v>1772</v>
      </c>
      <c r="AA176" s="2">
        <v>84</v>
      </c>
      <c r="AB176" s="2"/>
      <c r="AC176" s="5"/>
      <c r="AD176" s="5" t="s">
        <v>1773</v>
      </c>
      <c r="AE176" s="3"/>
      <c r="AF176" s="6"/>
      <c r="AG176" s="7"/>
      <c r="AH176" s="2">
        <v>0</v>
      </c>
      <c r="AI176" s="7"/>
      <c r="AJ176" s="3"/>
      <c r="AK176" s="8"/>
      <c r="AL176" s="2" t="str">
        <f t="shared" si="2"/>
        <v>Abrir WhatsApp</v>
      </c>
      <c r="AM176" s="2"/>
      <c r="AN176" s="2" t="s">
        <v>1774</v>
      </c>
      <c r="AO176" s="2" t="s">
        <v>1775</v>
      </c>
      <c r="AP176" s="2"/>
    </row>
    <row r="177" spans="1:42" ht="25" x14ac:dyDescent="0.35">
      <c r="A177" s="2">
        <v>176</v>
      </c>
      <c r="B177" s="2" t="s">
        <v>42</v>
      </c>
      <c r="C177" s="2">
        <v>3.3</v>
      </c>
      <c r="D177" s="3" t="s">
        <v>43</v>
      </c>
      <c r="E177" s="3" t="s">
        <v>44</v>
      </c>
      <c r="F177" s="3" t="s">
        <v>45</v>
      </c>
      <c r="G177" s="2" t="s">
        <v>1159</v>
      </c>
      <c r="H177" s="2" t="s">
        <v>1776</v>
      </c>
      <c r="I177" s="2" t="s">
        <v>1777</v>
      </c>
      <c r="J177" s="2" t="s">
        <v>1778</v>
      </c>
      <c r="K177" s="2" t="s">
        <v>1532</v>
      </c>
      <c r="L177" s="3"/>
      <c r="M177" s="3"/>
      <c r="N177" s="2" t="s">
        <v>1779</v>
      </c>
      <c r="O177" s="2"/>
      <c r="P177" s="2"/>
      <c r="Q177" s="2"/>
      <c r="R177" s="2"/>
      <c r="S177" s="2"/>
      <c r="T177" s="2"/>
      <c r="U177" s="2"/>
      <c r="V177" s="2"/>
      <c r="W177" s="2"/>
      <c r="X177" s="5"/>
      <c r="Y177" s="2"/>
      <c r="Z177" s="5"/>
      <c r="AA177" s="2">
        <v>72</v>
      </c>
      <c r="AB177" s="2"/>
      <c r="AC177" s="5"/>
      <c r="AD177" s="5" t="s">
        <v>1780</v>
      </c>
      <c r="AE177" s="3"/>
      <c r="AF177" s="6"/>
      <c r="AG177" s="7"/>
      <c r="AH177" s="2">
        <v>0</v>
      </c>
      <c r="AI177" s="7"/>
      <c r="AJ177" s="3"/>
      <c r="AK177" s="8"/>
      <c r="AL177" s="2" t="str">
        <f t="shared" si="2"/>
        <v/>
      </c>
      <c r="AM177" s="2"/>
      <c r="AN177" s="2" t="s">
        <v>1781</v>
      </c>
      <c r="AO177" s="2" t="s">
        <v>1782</v>
      </c>
      <c r="AP177" s="2"/>
    </row>
    <row r="178" spans="1:42" ht="25" x14ac:dyDescent="0.35">
      <c r="A178" s="2">
        <v>177</v>
      </c>
      <c r="B178" s="2" t="s">
        <v>42</v>
      </c>
      <c r="C178" s="2">
        <v>3.3</v>
      </c>
      <c r="D178" s="3" t="s">
        <v>43</v>
      </c>
      <c r="E178" s="3" t="s">
        <v>44</v>
      </c>
      <c r="F178" s="3" t="s">
        <v>45</v>
      </c>
      <c r="G178" s="2" t="s">
        <v>1159</v>
      </c>
      <c r="H178" s="2" t="s">
        <v>1783</v>
      </c>
      <c r="I178" s="2" t="s">
        <v>1783</v>
      </c>
      <c r="J178" s="2" t="s">
        <v>1784</v>
      </c>
      <c r="K178" s="2" t="s">
        <v>1445</v>
      </c>
      <c r="L178" s="3"/>
      <c r="M178" s="3"/>
      <c r="N178" s="2" t="s">
        <v>1785</v>
      </c>
      <c r="O178" s="2"/>
      <c r="P178" s="2"/>
      <c r="Q178" s="2"/>
      <c r="R178" s="2"/>
      <c r="S178" s="2"/>
      <c r="T178" s="2"/>
      <c r="U178" s="2"/>
      <c r="V178" s="2"/>
      <c r="W178" s="2"/>
      <c r="X178" s="5"/>
      <c r="Y178" s="2" t="s">
        <v>118</v>
      </c>
      <c r="Z178" s="5" t="s">
        <v>1786</v>
      </c>
      <c r="AA178" s="2">
        <v>86</v>
      </c>
      <c r="AB178" s="2"/>
      <c r="AC178" s="5"/>
      <c r="AD178" s="5" t="s">
        <v>1635</v>
      </c>
      <c r="AE178" s="3"/>
      <c r="AF178" s="6"/>
      <c r="AG178" s="7"/>
      <c r="AH178" s="2">
        <v>0</v>
      </c>
      <c r="AI178" s="7"/>
      <c r="AJ178" s="3"/>
      <c r="AK178" s="8"/>
      <c r="AL178" s="2" t="str">
        <f t="shared" si="2"/>
        <v/>
      </c>
      <c r="AM178" s="2"/>
      <c r="AN178" s="2" t="s">
        <v>1787</v>
      </c>
      <c r="AO178" s="2" t="s">
        <v>1788</v>
      </c>
      <c r="AP178" s="2"/>
    </row>
    <row r="179" spans="1:42" ht="50" x14ac:dyDescent="0.35">
      <c r="A179" s="2">
        <v>178</v>
      </c>
      <c r="B179" s="2" t="s">
        <v>42</v>
      </c>
      <c r="C179" s="2">
        <v>3.2</v>
      </c>
      <c r="D179" s="3" t="s">
        <v>43</v>
      </c>
      <c r="E179" s="3" t="s">
        <v>44</v>
      </c>
      <c r="F179" s="3" t="s">
        <v>679</v>
      </c>
      <c r="G179" s="2" t="s">
        <v>46</v>
      </c>
      <c r="H179" s="2" t="s">
        <v>46</v>
      </c>
      <c r="I179" s="2" t="s">
        <v>46</v>
      </c>
      <c r="J179" s="2" t="s">
        <v>1789</v>
      </c>
      <c r="K179" s="2"/>
      <c r="L179" s="3"/>
      <c r="M179" s="3"/>
      <c r="N179" s="2"/>
      <c r="O179" s="2" t="s">
        <v>1790</v>
      </c>
      <c r="P179" s="2"/>
      <c r="Q179" s="2"/>
      <c r="R179" s="2"/>
      <c r="S179" s="4" t="s">
        <v>1791</v>
      </c>
      <c r="T179" s="2"/>
      <c r="U179" s="2">
        <v>5</v>
      </c>
      <c r="V179" s="2">
        <v>141</v>
      </c>
      <c r="W179" s="2"/>
      <c r="X179" s="5" t="s">
        <v>1792</v>
      </c>
      <c r="Y179" s="2" t="s">
        <v>66</v>
      </c>
      <c r="Z179" s="5" t="s">
        <v>1793</v>
      </c>
      <c r="AA179" s="2">
        <v>312</v>
      </c>
      <c r="AB179" s="2" t="s">
        <v>68</v>
      </c>
      <c r="AC179" s="5"/>
      <c r="AD179" s="5" t="s">
        <v>1794</v>
      </c>
      <c r="AE179" s="3"/>
      <c r="AF179" s="6"/>
      <c r="AG179" s="7"/>
      <c r="AH179" s="2">
        <v>0</v>
      </c>
      <c r="AI179" s="7"/>
      <c r="AJ179" s="3"/>
      <c r="AK179" s="8"/>
      <c r="AL179" s="2" t="str">
        <f t="shared" si="2"/>
        <v>Abrir WhatsApp</v>
      </c>
      <c r="AM179" s="2"/>
      <c r="AN179" s="2" t="s">
        <v>1795</v>
      </c>
      <c r="AO179" s="2" t="s">
        <v>1796</v>
      </c>
      <c r="AP179" s="2"/>
    </row>
    <row r="180" spans="1:42" ht="50" x14ac:dyDescent="0.35">
      <c r="A180" s="2">
        <v>179</v>
      </c>
      <c r="B180" s="2" t="s">
        <v>42</v>
      </c>
      <c r="C180" s="2">
        <v>3.2</v>
      </c>
      <c r="D180" s="3" t="s">
        <v>43</v>
      </c>
      <c r="E180" s="3" t="s">
        <v>44</v>
      </c>
      <c r="F180" s="3" t="s">
        <v>679</v>
      </c>
      <c r="G180" s="2" t="s">
        <v>46</v>
      </c>
      <c r="H180" s="2" t="s">
        <v>161</v>
      </c>
      <c r="I180" s="2" t="s">
        <v>161</v>
      </c>
      <c r="J180" s="2" t="s">
        <v>1797</v>
      </c>
      <c r="K180" s="2"/>
      <c r="L180" s="3"/>
      <c r="M180" s="3"/>
      <c r="N180" s="2" t="s">
        <v>1798</v>
      </c>
      <c r="O180" s="2"/>
      <c r="P180" s="2" t="s">
        <v>1799</v>
      </c>
      <c r="Q180" s="2" t="s">
        <v>1800</v>
      </c>
      <c r="R180" s="4" t="s">
        <v>1801</v>
      </c>
      <c r="S180" s="4" t="s">
        <v>1802</v>
      </c>
      <c r="T180" s="4" t="s">
        <v>1803</v>
      </c>
      <c r="U180" s="2">
        <v>4.9000000000000004</v>
      </c>
      <c r="V180" s="2">
        <v>11</v>
      </c>
      <c r="W180" s="2"/>
      <c r="X180" s="5" t="s">
        <v>818</v>
      </c>
      <c r="Y180" s="2" t="s">
        <v>66</v>
      </c>
      <c r="Z180" s="5" t="s">
        <v>1804</v>
      </c>
      <c r="AA180" s="2">
        <v>304</v>
      </c>
      <c r="AB180" s="2"/>
      <c r="AC180" s="5"/>
      <c r="AD180" s="5" t="s">
        <v>1805</v>
      </c>
      <c r="AE180" s="3"/>
      <c r="AF180" s="6"/>
      <c r="AG180" s="7"/>
      <c r="AH180" s="2">
        <v>0</v>
      </c>
      <c r="AI180" s="7"/>
      <c r="AJ180" s="3"/>
      <c r="AK180" s="8"/>
      <c r="AL180" s="2" t="str">
        <f t="shared" si="2"/>
        <v/>
      </c>
      <c r="AM180" s="2" t="s">
        <v>1806</v>
      </c>
      <c r="AN180" s="2" t="s">
        <v>1807</v>
      </c>
      <c r="AO180" s="2" t="s">
        <v>1808</v>
      </c>
      <c r="AP180" s="2"/>
    </row>
    <row r="181" spans="1:42" ht="37.5" x14ac:dyDescent="0.35">
      <c r="A181" s="2">
        <v>180</v>
      </c>
      <c r="B181" s="2" t="s">
        <v>42</v>
      </c>
      <c r="C181" s="2">
        <v>3.1</v>
      </c>
      <c r="D181" s="3" t="s">
        <v>43</v>
      </c>
      <c r="E181" s="3" t="s">
        <v>44</v>
      </c>
      <c r="F181" s="3" t="s">
        <v>679</v>
      </c>
      <c r="G181" s="2" t="s">
        <v>126</v>
      </c>
      <c r="H181" s="2" t="s">
        <v>1283</v>
      </c>
      <c r="I181" s="2" t="s">
        <v>1283</v>
      </c>
      <c r="J181" s="2" t="s">
        <v>1809</v>
      </c>
      <c r="K181" s="2"/>
      <c r="L181" s="3"/>
      <c r="M181" s="3"/>
      <c r="N181" s="2" t="s">
        <v>1810</v>
      </c>
      <c r="O181" s="2"/>
      <c r="P181" s="2"/>
      <c r="Q181" s="2"/>
      <c r="R181" s="4" t="s">
        <v>1811</v>
      </c>
      <c r="S181" s="2"/>
      <c r="T181" s="4" t="s">
        <v>1812</v>
      </c>
      <c r="U181" s="2">
        <v>4.7</v>
      </c>
      <c r="V181" s="2">
        <v>25</v>
      </c>
      <c r="W181" s="2"/>
      <c r="X181" s="5" t="s">
        <v>224</v>
      </c>
      <c r="Y181" s="2"/>
      <c r="Z181" s="5"/>
      <c r="AA181" s="2">
        <v>393</v>
      </c>
      <c r="AB181" s="2"/>
      <c r="AC181" s="5"/>
      <c r="AD181" s="5" t="s">
        <v>1813</v>
      </c>
      <c r="AE181" s="3"/>
      <c r="AF181" s="6"/>
      <c r="AG181" s="7"/>
      <c r="AH181" s="2">
        <v>0</v>
      </c>
      <c r="AI181" s="7"/>
      <c r="AJ181" s="3"/>
      <c r="AK181" s="8"/>
      <c r="AL181" s="2" t="str">
        <f t="shared" si="2"/>
        <v/>
      </c>
      <c r="AM181" s="2"/>
      <c r="AN181" s="2" t="s">
        <v>1814</v>
      </c>
      <c r="AO181" s="2" t="s">
        <v>1815</v>
      </c>
      <c r="AP181" s="2"/>
    </row>
    <row r="182" spans="1:42" ht="37.5" x14ac:dyDescent="0.35">
      <c r="A182" s="2">
        <v>181</v>
      </c>
      <c r="B182" s="2" t="s">
        <v>42</v>
      </c>
      <c r="C182" s="2">
        <v>3.1</v>
      </c>
      <c r="D182" s="3" t="s">
        <v>43</v>
      </c>
      <c r="E182" s="3" t="s">
        <v>44</v>
      </c>
      <c r="F182" s="3" t="s">
        <v>679</v>
      </c>
      <c r="G182" s="2" t="s">
        <v>126</v>
      </c>
      <c r="H182" s="2" t="s">
        <v>241</v>
      </c>
      <c r="I182" s="2" t="s">
        <v>1650</v>
      </c>
      <c r="J182" s="2" t="s">
        <v>1816</v>
      </c>
      <c r="K182" s="2"/>
      <c r="L182" s="3"/>
      <c r="M182" s="3"/>
      <c r="N182" s="2" t="s">
        <v>1817</v>
      </c>
      <c r="O182" s="2"/>
      <c r="P182" s="2"/>
      <c r="Q182" s="2"/>
      <c r="R182" s="2"/>
      <c r="S182" s="4" t="s">
        <v>1818</v>
      </c>
      <c r="T182" s="2"/>
      <c r="U182" s="2"/>
      <c r="V182" s="2"/>
      <c r="W182" s="2"/>
      <c r="X182" s="5"/>
      <c r="Y182" s="2"/>
      <c r="Z182" s="5"/>
      <c r="AA182" s="2">
        <v>389</v>
      </c>
      <c r="AB182" s="2"/>
      <c r="AC182" s="5"/>
      <c r="AD182" s="5" t="s">
        <v>1819</v>
      </c>
      <c r="AE182" s="3"/>
      <c r="AF182" s="6"/>
      <c r="AG182" s="7"/>
      <c r="AH182" s="2">
        <v>0</v>
      </c>
      <c r="AI182" s="7"/>
      <c r="AJ182" s="3"/>
      <c r="AK182" s="8"/>
      <c r="AL182" s="2" t="str">
        <f t="shared" si="2"/>
        <v/>
      </c>
      <c r="AM182" s="2"/>
      <c r="AN182" s="2" t="s">
        <v>1820</v>
      </c>
      <c r="AO182" s="2" t="s">
        <v>1821</v>
      </c>
      <c r="AP182" s="2"/>
    </row>
    <row r="183" spans="1:42" ht="25" x14ac:dyDescent="0.35">
      <c r="A183" s="2">
        <v>182</v>
      </c>
      <c r="B183" s="2" t="s">
        <v>42</v>
      </c>
      <c r="C183" s="2">
        <v>3</v>
      </c>
      <c r="D183" s="3" t="s">
        <v>43</v>
      </c>
      <c r="E183" s="3" t="s">
        <v>44</v>
      </c>
      <c r="F183" s="3" t="s">
        <v>679</v>
      </c>
      <c r="G183" s="2" t="s">
        <v>107</v>
      </c>
      <c r="H183" s="2" t="s">
        <v>107</v>
      </c>
      <c r="I183" s="2" t="s">
        <v>107</v>
      </c>
      <c r="J183" s="2" t="s">
        <v>1822</v>
      </c>
      <c r="K183" s="2"/>
      <c r="L183" s="3"/>
      <c r="M183" s="3"/>
      <c r="N183" s="2" t="s">
        <v>1823</v>
      </c>
      <c r="O183" s="2"/>
      <c r="P183" s="2"/>
      <c r="Q183" s="2"/>
      <c r="R183" s="2" t="s">
        <v>1824</v>
      </c>
      <c r="S183" s="2"/>
      <c r="T183" s="2"/>
      <c r="U183" s="2">
        <v>4.5</v>
      </c>
      <c r="V183" s="2">
        <v>6</v>
      </c>
      <c r="W183" s="2"/>
      <c r="X183" s="5" t="s">
        <v>319</v>
      </c>
      <c r="Y183" s="2" t="s">
        <v>118</v>
      </c>
      <c r="Z183" s="5" t="s">
        <v>1163</v>
      </c>
      <c r="AA183" s="2">
        <v>507</v>
      </c>
      <c r="AB183" s="2"/>
      <c r="AC183" s="5"/>
      <c r="AD183" s="5" t="s">
        <v>1825</v>
      </c>
      <c r="AE183" s="3"/>
      <c r="AF183" s="6"/>
      <c r="AG183" s="7"/>
      <c r="AH183" s="2">
        <v>0</v>
      </c>
      <c r="AI183" s="7"/>
      <c r="AJ183" s="3"/>
      <c r="AK183" s="8"/>
      <c r="AL183" s="2" t="str">
        <f t="shared" si="2"/>
        <v/>
      </c>
      <c r="AM183" s="2" t="s">
        <v>1826</v>
      </c>
      <c r="AN183" s="2" t="s">
        <v>1827</v>
      </c>
      <c r="AO183" s="2" t="s">
        <v>1828</v>
      </c>
      <c r="AP183" s="2"/>
    </row>
    <row r="184" spans="1:42" ht="25" x14ac:dyDescent="0.35">
      <c r="A184" s="2">
        <v>183</v>
      </c>
      <c r="B184" s="2" t="s">
        <v>42</v>
      </c>
      <c r="C184" s="2">
        <v>3</v>
      </c>
      <c r="D184" s="3" t="s">
        <v>43</v>
      </c>
      <c r="E184" s="3" t="s">
        <v>44</v>
      </c>
      <c r="F184" s="3" t="s">
        <v>679</v>
      </c>
      <c r="G184" s="2" t="s">
        <v>107</v>
      </c>
      <c r="H184" s="2" t="s">
        <v>1247</v>
      </c>
      <c r="I184" s="2" t="s">
        <v>1247</v>
      </c>
      <c r="J184" s="2" t="s">
        <v>1829</v>
      </c>
      <c r="K184" s="2"/>
      <c r="L184" s="3"/>
      <c r="M184" s="3"/>
      <c r="N184" s="2" t="s">
        <v>1830</v>
      </c>
      <c r="O184" s="2" t="s">
        <v>1831</v>
      </c>
      <c r="P184" s="2"/>
      <c r="Q184" s="2"/>
      <c r="R184" s="2"/>
      <c r="S184" s="4" t="s">
        <v>1832</v>
      </c>
      <c r="T184" s="2"/>
      <c r="U184" s="2">
        <v>5</v>
      </c>
      <c r="V184" s="2">
        <v>2</v>
      </c>
      <c r="W184" s="2"/>
      <c r="X184" s="5"/>
      <c r="Y184" s="2"/>
      <c r="Z184" s="5"/>
      <c r="AA184" s="2">
        <v>495</v>
      </c>
      <c r="AB184" s="2"/>
      <c r="AC184" s="5"/>
      <c r="AD184" s="5" t="s">
        <v>1833</v>
      </c>
      <c r="AE184" s="3"/>
      <c r="AF184" s="6"/>
      <c r="AG184" s="7"/>
      <c r="AH184" s="2">
        <v>0</v>
      </c>
      <c r="AI184" s="7"/>
      <c r="AJ184" s="3"/>
      <c r="AK184" s="8"/>
      <c r="AL184" s="2" t="str">
        <f t="shared" si="2"/>
        <v>Abrir WhatsApp</v>
      </c>
      <c r="AM184" s="2" t="s">
        <v>1042</v>
      </c>
      <c r="AN184" s="2" t="s">
        <v>1834</v>
      </c>
      <c r="AO184" s="2" t="s">
        <v>1835</v>
      </c>
      <c r="AP184" s="2"/>
    </row>
    <row r="185" spans="1:42" ht="50" x14ac:dyDescent="0.35">
      <c r="A185" s="2">
        <v>184</v>
      </c>
      <c r="B185" s="2" t="s">
        <v>42</v>
      </c>
      <c r="C185" s="2">
        <v>3</v>
      </c>
      <c r="D185" s="3" t="s">
        <v>43</v>
      </c>
      <c r="E185" s="3" t="s">
        <v>44</v>
      </c>
      <c r="F185" s="3" t="s">
        <v>679</v>
      </c>
      <c r="G185" s="2" t="s">
        <v>107</v>
      </c>
      <c r="H185" s="2" t="s">
        <v>1836</v>
      </c>
      <c r="I185" s="2" t="s">
        <v>1836</v>
      </c>
      <c r="J185" s="2" t="s">
        <v>1837</v>
      </c>
      <c r="K185" s="2"/>
      <c r="L185" s="3"/>
      <c r="M185" s="3"/>
      <c r="N185" s="2" t="s">
        <v>1838</v>
      </c>
      <c r="O185" s="2"/>
      <c r="P185" s="2"/>
      <c r="Q185" s="2"/>
      <c r="R185" s="4" t="s">
        <v>1839</v>
      </c>
      <c r="S185" s="2"/>
      <c r="T185" s="2"/>
      <c r="U185" s="2">
        <v>4.9000000000000004</v>
      </c>
      <c r="V185" s="2">
        <v>16</v>
      </c>
      <c r="W185" s="2"/>
      <c r="X185" s="5"/>
      <c r="Y185" s="2" t="s">
        <v>66</v>
      </c>
      <c r="Z185" s="5" t="s">
        <v>1840</v>
      </c>
      <c r="AA185" s="2">
        <v>502</v>
      </c>
      <c r="AB185" s="2"/>
      <c r="AC185" s="5"/>
      <c r="AD185" s="5" t="s">
        <v>1841</v>
      </c>
      <c r="AE185" s="3"/>
      <c r="AF185" s="6"/>
      <c r="AG185" s="7"/>
      <c r="AH185" s="2">
        <v>0</v>
      </c>
      <c r="AI185" s="7"/>
      <c r="AJ185" s="3"/>
      <c r="AK185" s="8"/>
      <c r="AL185" s="2" t="str">
        <f t="shared" si="2"/>
        <v/>
      </c>
      <c r="AM185" s="2" t="s">
        <v>1842</v>
      </c>
      <c r="AN185" s="2" t="s">
        <v>1843</v>
      </c>
      <c r="AO185" s="2" t="s">
        <v>1844</v>
      </c>
      <c r="AP185" s="2"/>
    </row>
    <row r="186" spans="1:42" ht="75" x14ac:dyDescent="0.35">
      <c r="A186" s="2">
        <v>185</v>
      </c>
      <c r="B186" s="2" t="s">
        <v>42</v>
      </c>
      <c r="C186" s="2">
        <v>3</v>
      </c>
      <c r="D186" s="3" t="s">
        <v>43</v>
      </c>
      <c r="E186" s="3" t="s">
        <v>44</v>
      </c>
      <c r="F186" s="3" t="s">
        <v>679</v>
      </c>
      <c r="G186" s="2" t="s">
        <v>207</v>
      </c>
      <c r="H186" s="2" t="s">
        <v>1180</v>
      </c>
      <c r="I186" s="2" t="s">
        <v>1602</v>
      </c>
      <c r="J186" s="2" t="s">
        <v>1845</v>
      </c>
      <c r="K186" s="2"/>
      <c r="L186" s="3"/>
      <c r="M186" s="3"/>
      <c r="N186" s="2"/>
      <c r="O186" s="2" t="s">
        <v>1846</v>
      </c>
      <c r="P186" s="2"/>
      <c r="Q186" s="2"/>
      <c r="R186" s="2"/>
      <c r="S186" s="4" t="s">
        <v>1847</v>
      </c>
      <c r="T186" s="2"/>
      <c r="U186" s="2">
        <v>3.7</v>
      </c>
      <c r="V186" s="2">
        <v>3</v>
      </c>
      <c r="W186" s="2"/>
      <c r="X186" s="5"/>
      <c r="Y186" s="2" t="s">
        <v>118</v>
      </c>
      <c r="Z186" s="5" t="s">
        <v>1848</v>
      </c>
      <c r="AA186" s="2"/>
      <c r="AB186" s="2"/>
      <c r="AC186" s="5" t="s">
        <v>1849</v>
      </c>
      <c r="AD186" s="5" t="s">
        <v>1850</v>
      </c>
      <c r="AE186" s="3"/>
      <c r="AF186" s="6"/>
      <c r="AG186" s="7"/>
      <c r="AH186" s="2">
        <v>0</v>
      </c>
      <c r="AI186" s="7"/>
      <c r="AJ186" s="3"/>
      <c r="AK186" s="8"/>
      <c r="AL186" s="2" t="str">
        <f t="shared" si="2"/>
        <v>Abrir WhatsApp</v>
      </c>
      <c r="AM186" s="2"/>
      <c r="AN186" s="2" t="s">
        <v>1851</v>
      </c>
      <c r="AO186" s="2" t="s">
        <v>1852</v>
      </c>
      <c r="AP186" s="2"/>
    </row>
    <row r="187" spans="1:42" ht="50" x14ac:dyDescent="0.35">
      <c r="A187" s="2">
        <v>186</v>
      </c>
      <c r="B187" s="2" t="s">
        <v>42</v>
      </c>
      <c r="C187" s="2">
        <v>3</v>
      </c>
      <c r="D187" s="3" t="s">
        <v>43</v>
      </c>
      <c r="E187" s="3" t="s">
        <v>44</v>
      </c>
      <c r="F187" s="3" t="s">
        <v>45</v>
      </c>
      <c r="G187" s="2" t="s">
        <v>393</v>
      </c>
      <c r="H187" s="2" t="s">
        <v>1489</v>
      </c>
      <c r="I187" s="2" t="s">
        <v>1489</v>
      </c>
      <c r="J187" s="2" t="s">
        <v>1853</v>
      </c>
      <c r="K187" s="2" t="s">
        <v>1854</v>
      </c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5"/>
      <c r="Y187" s="2"/>
      <c r="Z187" s="5"/>
      <c r="AA187" s="2"/>
      <c r="AB187" s="2"/>
      <c r="AC187" s="5"/>
      <c r="AD187" s="5" t="s">
        <v>1855</v>
      </c>
      <c r="AE187" s="3"/>
      <c r="AF187" s="6"/>
      <c r="AG187" s="7"/>
      <c r="AH187" s="2">
        <v>0</v>
      </c>
      <c r="AI187" s="7"/>
      <c r="AJ187" s="3"/>
      <c r="AK187" s="8"/>
      <c r="AL187" s="2" t="str">
        <f t="shared" si="2"/>
        <v/>
      </c>
      <c r="AM187" s="2"/>
      <c r="AN187" s="2" t="s">
        <v>1856</v>
      </c>
      <c r="AO187" s="2" t="s">
        <v>1857</v>
      </c>
      <c r="AP187" s="2"/>
    </row>
    <row r="188" spans="1:42" ht="37.5" x14ac:dyDescent="0.35">
      <c r="A188" s="2">
        <v>187</v>
      </c>
      <c r="B188" s="2" t="s">
        <v>42</v>
      </c>
      <c r="C188" s="2">
        <v>3</v>
      </c>
      <c r="D188" s="3" t="s">
        <v>43</v>
      </c>
      <c r="E188" s="3" t="s">
        <v>44</v>
      </c>
      <c r="F188" s="3" t="s">
        <v>45</v>
      </c>
      <c r="G188" s="2" t="s">
        <v>393</v>
      </c>
      <c r="H188" s="2" t="s">
        <v>1858</v>
      </c>
      <c r="I188" s="2" t="s">
        <v>1859</v>
      </c>
      <c r="J188" s="2" t="s">
        <v>1860</v>
      </c>
      <c r="K188" s="2" t="s">
        <v>623</v>
      </c>
      <c r="L188" s="3"/>
      <c r="M188" s="3"/>
      <c r="N188" s="2" t="s">
        <v>624</v>
      </c>
      <c r="O188" s="2"/>
      <c r="P188" s="2"/>
      <c r="Q188" s="2"/>
      <c r="R188" s="2"/>
      <c r="S188" s="4" t="s">
        <v>1861</v>
      </c>
      <c r="T188" s="2"/>
      <c r="U188" s="2" t="s">
        <v>1862</v>
      </c>
      <c r="V188" s="2">
        <v>1</v>
      </c>
      <c r="W188" s="2"/>
      <c r="X188" s="5" t="s">
        <v>319</v>
      </c>
      <c r="Y188" s="2"/>
      <c r="Z188" s="5"/>
      <c r="AA188" s="2"/>
      <c r="AB188" s="2"/>
      <c r="AC188" s="5"/>
      <c r="AD188" s="5" t="s">
        <v>1863</v>
      </c>
      <c r="AE188" s="3"/>
      <c r="AF188" s="6"/>
      <c r="AG188" s="7"/>
      <c r="AH188" s="2">
        <v>0</v>
      </c>
      <c r="AI188" s="7"/>
      <c r="AJ188" s="3"/>
      <c r="AK188" s="8"/>
      <c r="AL188" s="2" t="str">
        <f t="shared" si="2"/>
        <v/>
      </c>
      <c r="AM188" s="2"/>
      <c r="AN188" s="2" t="s">
        <v>1864</v>
      </c>
      <c r="AO188" s="2" t="s">
        <v>1865</v>
      </c>
      <c r="AP188" s="2"/>
    </row>
    <row r="189" spans="1:42" ht="50" x14ac:dyDescent="0.35">
      <c r="A189" s="2">
        <v>188</v>
      </c>
      <c r="B189" s="2" t="s">
        <v>42</v>
      </c>
      <c r="C189" s="2">
        <v>3</v>
      </c>
      <c r="D189" s="3" t="s">
        <v>43</v>
      </c>
      <c r="E189" s="3" t="s">
        <v>44</v>
      </c>
      <c r="F189" s="3" t="s">
        <v>45</v>
      </c>
      <c r="G189" s="2" t="s">
        <v>393</v>
      </c>
      <c r="H189" s="2" t="s">
        <v>1858</v>
      </c>
      <c r="I189" s="2" t="s">
        <v>1858</v>
      </c>
      <c r="J189" s="2" t="s">
        <v>1866</v>
      </c>
      <c r="K189" s="2" t="s">
        <v>1867</v>
      </c>
      <c r="L189" s="3"/>
      <c r="M189" s="3"/>
      <c r="N189" s="2" t="s">
        <v>1868</v>
      </c>
      <c r="O189" s="2"/>
      <c r="P189" s="2"/>
      <c r="Q189" s="2"/>
      <c r="R189" s="2"/>
      <c r="S189" s="2"/>
      <c r="T189" s="2"/>
      <c r="U189" s="2"/>
      <c r="V189" s="2"/>
      <c r="W189" s="2"/>
      <c r="X189" s="5"/>
      <c r="Y189" s="2"/>
      <c r="Z189" s="5"/>
      <c r="AA189" s="2"/>
      <c r="AB189" s="2"/>
      <c r="AC189" s="5"/>
      <c r="AD189" s="5" t="s">
        <v>1869</v>
      </c>
      <c r="AE189" s="3"/>
      <c r="AF189" s="6"/>
      <c r="AG189" s="7"/>
      <c r="AH189" s="2">
        <v>0</v>
      </c>
      <c r="AI189" s="7"/>
      <c r="AJ189" s="3"/>
      <c r="AK189" s="8"/>
      <c r="AL189" s="2" t="str">
        <f t="shared" si="2"/>
        <v/>
      </c>
      <c r="AM189" s="2"/>
      <c r="AN189" s="2" t="s">
        <v>1870</v>
      </c>
      <c r="AO189" s="2" t="s">
        <v>1871</v>
      </c>
      <c r="AP189" s="2"/>
    </row>
    <row r="190" spans="1:42" ht="37.5" x14ac:dyDescent="0.35">
      <c r="A190" s="2">
        <v>189</v>
      </c>
      <c r="B190" s="2" t="s">
        <v>42</v>
      </c>
      <c r="C190" s="2">
        <v>3</v>
      </c>
      <c r="D190" s="3" t="s">
        <v>43</v>
      </c>
      <c r="E190" s="3" t="s">
        <v>44</v>
      </c>
      <c r="F190" s="3" t="s">
        <v>45</v>
      </c>
      <c r="G190" s="2" t="s">
        <v>393</v>
      </c>
      <c r="H190" s="2" t="s">
        <v>1341</v>
      </c>
      <c r="I190" s="2" t="s">
        <v>1872</v>
      </c>
      <c r="J190" s="2" t="s">
        <v>1873</v>
      </c>
      <c r="K190" s="2" t="s">
        <v>1874</v>
      </c>
      <c r="L190" s="3"/>
      <c r="M190" s="3"/>
      <c r="N190" s="2" t="s">
        <v>1686</v>
      </c>
      <c r="O190" s="2"/>
      <c r="P190" s="2"/>
      <c r="Q190" s="2"/>
      <c r="R190" s="2"/>
      <c r="S190" s="2"/>
      <c r="T190" s="2"/>
      <c r="U190" s="2"/>
      <c r="V190" s="2"/>
      <c r="W190" s="2"/>
      <c r="X190" s="5"/>
      <c r="Y190" s="2"/>
      <c r="Z190" s="5"/>
      <c r="AA190" s="2"/>
      <c r="AB190" s="2"/>
      <c r="AC190" s="5"/>
      <c r="AD190" s="5" t="s">
        <v>1875</v>
      </c>
      <c r="AE190" s="3"/>
      <c r="AF190" s="6"/>
      <c r="AG190" s="7"/>
      <c r="AH190" s="2">
        <v>0</v>
      </c>
      <c r="AI190" s="7"/>
      <c r="AJ190" s="3"/>
      <c r="AK190" s="8"/>
      <c r="AL190" s="2" t="str">
        <f t="shared" si="2"/>
        <v/>
      </c>
      <c r="AM190" s="2"/>
      <c r="AN190" s="2" t="s">
        <v>1876</v>
      </c>
      <c r="AO190" s="2" t="s">
        <v>1877</v>
      </c>
      <c r="AP190" s="2"/>
    </row>
    <row r="191" spans="1:42" ht="50" x14ac:dyDescent="0.35">
      <c r="A191" s="2">
        <v>190</v>
      </c>
      <c r="B191" s="2" t="s">
        <v>42</v>
      </c>
      <c r="C191" s="2">
        <v>3</v>
      </c>
      <c r="D191" s="3" t="s">
        <v>43</v>
      </c>
      <c r="E191" s="3" t="s">
        <v>44</v>
      </c>
      <c r="F191" s="3" t="s">
        <v>45</v>
      </c>
      <c r="G191" s="2" t="s">
        <v>393</v>
      </c>
      <c r="H191" s="2" t="s">
        <v>621</v>
      </c>
      <c r="I191" s="2" t="s">
        <v>621</v>
      </c>
      <c r="J191" s="2" t="s">
        <v>1878</v>
      </c>
      <c r="K191" s="2" t="s">
        <v>1879</v>
      </c>
      <c r="L191" s="3"/>
      <c r="M191" s="3"/>
      <c r="N191" s="2" t="s">
        <v>1868</v>
      </c>
      <c r="O191" s="2"/>
      <c r="P191" s="2"/>
      <c r="Q191" s="2"/>
      <c r="R191" s="2"/>
      <c r="S191" s="2"/>
      <c r="T191" s="2"/>
      <c r="U191" s="2"/>
      <c r="V191" s="2"/>
      <c r="W191" s="2"/>
      <c r="X191" s="5"/>
      <c r="Y191" s="2"/>
      <c r="Z191" s="5"/>
      <c r="AA191" s="2"/>
      <c r="AB191" s="2"/>
      <c r="AC191" s="5"/>
      <c r="AD191" s="5" t="s">
        <v>1880</v>
      </c>
      <c r="AE191" s="3"/>
      <c r="AF191" s="6"/>
      <c r="AG191" s="7"/>
      <c r="AH191" s="2">
        <v>0</v>
      </c>
      <c r="AI191" s="7"/>
      <c r="AJ191" s="3"/>
      <c r="AK191" s="8"/>
      <c r="AL191" s="2" t="str">
        <f t="shared" si="2"/>
        <v/>
      </c>
      <c r="AM191" s="2"/>
      <c r="AN191" s="2" t="s">
        <v>1881</v>
      </c>
      <c r="AO191" s="2" t="s">
        <v>1882</v>
      </c>
      <c r="AP191" s="2"/>
    </row>
    <row r="192" spans="1:42" ht="100" x14ac:dyDescent="0.35">
      <c r="A192" s="2">
        <v>191</v>
      </c>
      <c r="B192" s="2" t="s">
        <v>42</v>
      </c>
      <c r="C192" s="2">
        <v>2.9</v>
      </c>
      <c r="D192" s="3" t="s">
        <v>43</v>
      </c>
      <c r="E192" s="3" t="s">
        <v>44</v>
      </c>
      <c r="F192" s="3" t="s">
        <v>679</v>
      </c>
      <c r="G192" s="2" t="s">
        <v>107</v>
      </c>
      <c r="H192" s="2" t="s">
        <v>1883</v>
      </c>
      <c r="I192" s="2" t="s">
        <v>1883</v>
      </c>
      <c r="J192" s="2" t="s">
        <v>1884</v>
      </c>
      <c r="K192" s="2"/>
      <c r="L192" s="3"/>
      <c r="M192" s="3"/>
      <c r="N192" s="2" t="s">
        <v>1885</v>
      </c>
      <c r="O192" s="2"/>
      <c r="P192" s="2"/>
      <c r="Q192" s="2"/>
      <c r="R192" s="2"/>
      <c r="S192" s="2"/>
      <c r="T192" s="2"/>
      <c r="U192" s="2">
        <v>4.3</v>
      </c>
      <c r="V192" s="2">
        <v>55</v>
      </c>
      <c r="W192" s="2"/>
      <c r="X192" s="5"/>
      <c r="Y192" s="2" t="s">
        <v>66</v>
      </c>
      <c r="Z192" s="5" t="s">
        <v>1886</v>
      </c>
      <c r="AA192" s="2">
        <v>361</v>
      </c>
      <c r="AB192" s="2"/>
      <c r="AC192" s="5" t="s">
        <v>1887</v>
      </c>
      <c r="AD192" s="5" t="s">
        <v>1888</v>
      </c>
      <c r="AE192" s="3"/>
      <c r="AF192" s="6"/>
      <c r="AG192" s="7"/>
      <c r="AH192" s="2">
        <v>0</v>
      </c>
      <c r="AI192" s="7"/>
      <c r="AJ192" s="3"/>
      <c r="AK192" s="8"/>
      <c r="AL192" s="2" t="str">
        <f t="shared" si="2"/>
        <v/>
      </c>
      <c r="AM192" s="2" t="s">
        <v>462</v>
      </c>
      <c r="AN192" s="2" t="s">
        <v>1889</v>
      </c>
      <c r="AO192" s="2" t="s">
        <v>1890</v>
      </c>
      <c r="AP192" s="2"/>
    </row>
    <row r="193" spans="1:42" ht="62.5" x14ac:dyDescent="0.35">
      <c r="A193" s="2">
        <v>192</v>
      </c>
      <c r="B193" s="2" t="s">
        <v>42</v>
      </c>
      <c r="C193" s="2">
        <v>2.9</v>
      </c>
      <c r="D193" s="3" t="s">
        <v>43</v>
      </c>
      <c r="E193" s="3" t="s">
        <v>44</v>
      </c>
      <c r="F193" s="3" t="s">
        <v>679</v>
      </c>
      <c r="G193" s="2" t="s">
        <v>107</v>
      </c>
      <c r="H193" s="2" t="s">
        <v>1891</v>
      </c>
      <c r="I193" s="2" t="s">
        <v>1891</v>
      </c>
      <c r="J193" s="2" t="s">
        <v>1892</v>
      </c>
      <c r="K193" s="2"/>
      <c r="L193" s="3"/>
      <c r="M193" s="3"/>
      <c r="N193" s="2" t="s">
        <v>1893</v>
      </c>
      <c r="O193" s="2" t="s">
        <v>1894</v>
      </c>
      <c r="P193" s="2"/>
      <c r="Q193" s="2"/>
      <c r="R193" s="2"/>
      <c r="S193" s="2"/>
      <c r="T193" s="2"/>
      <c r="U193" s="2">
        <v>4.7</v>
      </c>
      <c r="V193" s="2">
        <v>7</v>
      </c>
      <c r="W193" s="2"/>
      <c r="X193" s="5"/>
      <c r="Y193" s="2" t="s">
        <v>66</v>
      </c>
      <c r="Z193" s="5" t="s">
        <v>1895</v>
      </c>
      <c r="AA193" s="2">
        <v>481</v>
      </c>
      <c r="AB193" s="2"/>
      <c r="AC193" s="5"/>
      <c r="AD193" s="5" t="s">
        <v>1896</v>
      </c>
      <c r="AE193" s="3"/>
      <c r="AF193" s="6"/>
      <c r="AG193" s="7"/>
      <c r="AH193" s="2">
        <v>0</v>
      </c>
      <c r="AI193" s="7"/>
      <c r="AJ193" s="3"/>
      <c r="AK193" s="8"/>
      <c r="AL193" s="2" t="str">
        <f t="shared" si="2"/>
        <v>Abrir WhatsApp</v>
      </c>
      <c r="AM193" s="2" t="s">
        <v>1042</v>
      </c>
      <c r="AN193" s="2" t="s">
        <v>1897</v>
      </c>
      <c r="AO193" s="2" t="s">
        <v>1898</v>
      </c>
      <c r="AP193" s="2"/>
    </row>
    <row r="194" spans="1:42" ht="50" x14ac:dyDescent="0.35">
      <c r="A194" s="2">
        <v>193</v>
      </c>
      <c r="B194" s="2" t="s">
        <v>42</v>
      </c>
      <c r="C194" s="2">
        <v>2.8</v>
      </c>
      <c r="D194" s="3" t="s">
        <v>43</v>
      </c>
      <c r="E194" s="3" t="s">
        <v>44</v>
      </c>
      <c r="F194" s="3" t="s">
        <v>679</v>
      </c>
      <c r="G194" s="2" t="s">
        <v>126</v>
      </c>
      <c r="H194" s="2" t="s">
        <v>851</v>
      </c>
      <c r="I194" s="2" t="s">
        <v>851</v>
      </c>
      <c r="J194" s="2" t="s">
        <v>1899</v>
      </c>
      <c r="K194" s="2"/>
      <c r="L194" s="3"/>
      <c r="M194" s="3"/>
      <c r="N194" s="2" t="s">
        <v>1900</v>
      </c>
      <c r="O194" s="2" t="s">
        <v>1901</v>
      </c>
      <c r="P194" s="2"/>
      <c r="Q194" s="2" t="s">
        <v>1902</v>
      </c>
      <c r="R194" s="4" t="s">
        <v>1903</v>
      </c>
      <c r="S194" s="4" t="s">
        <v>1904</v>
      </c>
      <c r="T194" s="2"/>
      <c r="U194" s="2"/>
      <c r="V194" s="2"/>
      <c r="W194" s="2"/>
      <c r="X194" s="5" t="s">
        <v>319</v>
      </c>
      <c r="Y194" s="2" t="s">
        <v>66</v>
      </c>
      <c r="Z194" s="5" t="s">
        <v>1905</v>
      </c>
      <c r="AA194" s="2">
        <v>329</v>
      </c>
      <c r="AB194" s="2" t="s">
        <v>1906</v>
      </c>
      <c r="AC194" s="5"/>
      <c r="AD194" s="5" t="s">
        <v>1907</v>
      </c>
      <c r="AE194" s="3"/>
      <c r="AF194" s="6"/>
      <c r="AG194" s="7"/>
      <c r="AH194" s="2">
        <v>0</v>
      </c>
      <c r="AI194" s="7"/>
      <c r="AJ194" s="3"/>
      <c r="AK194" s="8"/>
      <c r="AL194" s="2" t="str">
        <f t="shared" ref="AL194:AL257" si="3">IF(IF(O194&lt;&gt;"",O194,IF(LEFT(TRIM(N194),1)="9",N194,""))="","",HYPERLINK("https://wa.me/351"&amp;LEFT(SUBSTITUTE(SUBSTITUTE(SUBSTITUTE(IF(O194&lt;&gt;"",O194,IF(LEFT(TRIM(N194),1)="9",N194,""))," ",""),"+351",""),"-",""),9),"Abrir WhatsApp"))</f>
        <v>Abrir WhatsApp</v>
      </c>
      <c r="AM194" s="2" t="s">
        <v>1908</v>
      </c>
      <c r="AN194" s="2" t="s">
        <v>1909</v>
      </c>
      <c r="AO194" s="2" t="s">
        <v>1910</v>
      </c>
      <c r="AP194" s="2"/>
    </row>
    <row r="195" spans="1:42" ht="50" x14ac:dyDescent="0.35">
      <c r="A195" s="2">
        <v>194</v>
      </c>
      <c r="B195" s="2" t="s">
        <v>42</v>
      </c>
      <c r="C195" s="2">
        <v>2.8</v>
      </c>
      <c r="D195" s="3" t="s">
        <v>43</v>
      </c>
      <c r="E195" s="3" t="s">
        <v>44</v>
      </c>
      <c r="F195" s="3" t="s">
        <v>679</v>
      </c>
      <c r="G195" s="2" t="s">
        <v>107</v>
      </c>
      <c r="H195" s="2" t="s">
        <v>107</v>
      </c>
      <c r="I195" s="2" t="s">
        <v>107</v>
      </c>
      <c r="J195" s="2" t="s">
        <v>1911</v>
      </c>
      <c r="K195" s="2"/>
      <c r="L195" s="3"/>
      <c r="M195" s="3"/>
      <c r="N195" s="2" t="s">
        <v>1912</v>
      </c>
      <c r="O195" s="2"/>
      <c r="P195" s="2"/>
      <c r="Q195" s="2"/>
      <c r="R195" s="2"/>
      <c r="S195" s="4" t="s">
        <v>1913</v>
      </c>
      <c r="T195" s="2"/>
      <c r="U195" s="2">
        <v>4.5999999999999996</v>
      </c>
      <c r="V195" s="2">
        <v>14</v>
      </c>
      <c r="W195" s="2"/>
      <c r="X195" s="5" t="s">
        <v>319</v>
      </c>
      <c r="Y195" s="2" t="s">
        <v>66</v>
      </c>
      <c r="Z195" s="5" t="s">
        <v>1914</v>
      </c>
      <c r="AA195" s="2">
        <v>336</v>
      </c>
      <c r="AB195" s="2"/>
      <c r="AC195" s="5" t="s">
        <v>1915</v>
      </c>
      <c r="AD195" s="5" t="s">
        <v>1916</v>
      </c>
      <c r="AE195" s="3"/>
      <c r="AF195" s="6"/>
      <c r="AG195" s="7"/>
      <c r="AH195" s="2">
        <v>0</v>
      </c>
      <c r="AI195" s="7"/>
      <c r="AJ195" s="3"/>
      <c r="AK195" s="8"/>
      <c r="AL195" s="2" t="str">
        <f t="shared" si="3"/>
        <v/>
      </c>
      <c r="AM195" s="2" t="s">
        <v>1237</v>
      </c>
      <c r="AN195" s="2" t="s">
        <v>1917</v>
      </c>
      <c r="AO195" s="2" t="s">
        <v>1918</v>
      </c>
      <c r="AP195" s="2"/>
    </row>
    <row r="196" spans="1:42" ht="37.5" x14ac:dyDescent="0.35">
      <c r="A196" s="2">
        <v>195</v>
      </c>
      <c r="B196" s="2" t="s">
        <v>42</v>
      </c>
      <c r="C196" s="2">
        <v>2.8</v>
      </c>
      <c r="D196" s="3" t="s">
        <v>43</v>
      </c>
      <c r="E196" s="3" t="s">
        <v>44</v>
      </c>
      <c r="F196" s="3" t="s">
        <v>679</v>
      </c>
      <c r="G196" s="2" t="s">
        <v>107</v>
      </c>
      <c r="H196" s="2" t="s">
        <v>480</v>
      </c>
      <c r="I196" s="2" t="s">
        <v>1919</v>
      </c>
      <c r="J196" s="2" t="s">
        <v>1920</v>
      </c>
      <c r="K196" s="2"/>
      <c r="L196" s="3"/>
      <c r="M196" s="3"/>
      <c r="N196" s="2" t="s">
        <v>1921</v>
      </c>
      <c r="O196" s="2" t="s">
        <v>1922</v>
      </c>
      <c r="P196" s="2"/>
      <c r="Q196" s="2" t="s">
        <v>1923</v>
      </c>
      <c r="R196" s="2"/>
      <c r="S196" s="4" t="s">
        <v>1924</v>
      </c>
      <c r="T196" s="2"/>
      <c r="U196" s="2">
        <v>5</v>
      </c>
      <c r="V196" s="2">
        <v>25</v>
      </c>
      <c r="W196" s="2"/>
      <c r="X196" s="5" t="s">
        <v>319</v>
      </c>
      <c r="Y196" s="2" t="s">
        <v>66</v>
      </c>
      <c r="Z196" s="5" t="s">
        <v>1925</v>
      </c>
      <c r="AA196" s="2">
        <v>454</v>
      </c>
      <c r="AB196" s="2"/>
      <c r="AC196" s="5"/>
      <c r="AD196" s="5" t="s">
        <v>1926</v>
      </c>
      <c r="AE196" s="3"/>
      <c r="AF196" s="6"/>
      <c r="AG196" s="7"/>
      <c r="AH196" s="2">
        <v>0</v>
      </c>
      <c r="AI196" s="7"/>
      <c r="AJ196" s="3"/>
      <c r="AK196" s="8"/>
      <c r="AL196" s="2" t="str">
        <f t="shared" si="3"/>
        <v>Abrir WhatsApp</v>
      </c>
      <c r="AM196" s="2" t="s">
        <v>1042</v>
      </c>
      <c r="AN196" s="2" t="s">
        <v>1927</v>
      </c>
      <c r="AO196" s="2" t="s">
        <v>1928</v>
      </c>
      <c r="AP196" s="2"/>
    </row>
    <row r="197" spans="1:42" ht="50" x14ac:dyDescent="0.35">
      <c r="A197" s="2">
        <v>196</v>
      </c>
      <c r="B197" s="2" t="s">
        <v>42</v>
      </c>
      <c r="C197" s="2">
        <v>2.7</v>
      </c>
      <c r="D197" s="3" t="s">
        <v>43</v>
      </c>
      <c r="E197" s="3" t="s">
        <v>44</v>
      </c>
      <c r="F197" s="3" t="s">
        <v>679</v>
      </c>
      <c r="G197" s="2" t="s">
        <v>107</v>
      </c>
      <c r="H197" s="2" t="s">
        <v>1883</v>
      </c>
      <c r="I197" s="2" t="s">
        <v>1883</v>
      </c>
      <c r="J197" s="2" t="s">
        <v>1929</v>
      </c>
      <c r="K197" s="2"/>
      <c r="L197" s="3"/>
      <c r="M197" s="3"/>
      <c r="N197" s="2" t="s">
        <v>1930</v>
      </c>
      <c r="O197" s="2" t="s">
        <v>1931</v>
      </c>
      <c r="P197" s="2"/>
      <c r="Q197" s="2" t="s">
        <v>1932</v>
      </c>
      <c r="R197" s="2" t="s">
        <v>1933</v>
      </c>
      <c r="S197" s="4" t="s">
        <v>1934</v>
      </c>
      <c r="T197" s="2"/>
      <c r="U197" s="2">
        <v>4.4000000000000004</v>
      </c>
      <c r="V197" s="2">
        <v>12</v>
      </c>
      <c r="W197" s="2"/>
      <c r="X197" s="5"/>
      <c r="Y197" s="2" t="s">
        <v>66</v>
      </c>
      <c r="Z197" s="5" t="s">
        <v>1935</v>
      </c>
      <c r="AA197" s="2">
        <v>309</v>
      </c>
      <c r="AB197" s="2"/>
      <c r="AC197" s="5" t="s">
        <v>1936</v>
      </c>
      <c r="AD197" s="5" t="s">
        <v>1937</v>
      </c>
      <c r="AE197" s="3"/>
      <c r="AF197" s="6"/>
      <c r="AG197" s="7"/>
      <c r="AH197" s="2">
        <v>0</v>
      </c>
      <c r="AI197" s="7"/>
      <c r="AJ197" s="3"/>
      <c r="AK197" s="8"/>
      <c r="AL197" s="2" t="str">
        <f t="shared" si="3"/>
        <v>Abrir WhatsApp</v>
      </c>
      <c r="AM197" s="2" t="s">
        <v>1938</v>
      </c>
      <c r="AN197" s="2" t="s">
        <v>1939</v>
      </c>
      <c r="AO197" s="2" t="s">
        <v>1940</v>
      </c>
      <c r="AP197" s="2"/>
    </row>
    <row r="198" spans="1:42" ht="50" x14ac:dyDescent="0.35">
      <c r="A198" s="2">
        <v>197</v>
      </c>
      <c r="B198" s="2" t="s">
        <v>42</v>
      </c>
      <c r="C198" s="2">
        <v>2.5</v>
      </c>
      <c r="D198" s="3" t="s">
        <v>43</v>
      </c>
      <c r="E198" s="3" t="s">
        <v>44</v>
      </c>
      <c r="F198" s="3" t="s">
        <v>679</v>
      </c>
      <c r="G198" s="2" t="s">
        <v>207</v>
      </c>
      <c r="H198" s="2" t="s">
        <v>1941</v>
      </c>
      <c r="I198" s="2" t="s">
        <v>1941</v>
      </c>
      <c r="J198" s="2" t="s">
        <v>1942</v>
      </c>
      <c r="K198" s="2"/>
      <c r="L198" s="3"/>
      <c r="M198" s="3"/>
      <c r="N198" s="2" t="s">
        <v>1943</v>
      </c>
      <c r="O198" s="2"/>
      <c r="P198" s="2"/>
      <c r="Q198" s="2"/>
      <c r="R198" s="2"/>
      <c r="S198" s="2"/>
      <c r="T198" s="2"/>
      <c r="U198" s="2">
        <v>4.0999999999999996</v>
      </c>
      <c r="V198" s="2">
        <v>9</v>
      </c>
      <c r="W198" s="2"/>
      <c r="X198" s="5"/>
      <c r="Y198" s="2"/>
      <c r="Z198" s="5"/>
      <c r="AA198" s="2">
        <v>134</v>
      </c>
      <c r="AB198" s="2"/>
      <c r="AC198" s="5" t="s">
        <v>1944</v>
      </c>
      <c r="AD198" s="5" t="s">
        <v>1945</v>
      </c>
      <c r="AE198" s="3"/>
      <c r="AF198" s="6"/>
      <c r="AG198" s="7"/>
      <c r="AH198" s="2">
        <v>0</v>
      </c>
      <c r="AI198" s="7"/>
      <c r="AJ198" s="3"/>
      <c r="AK198" s="8"/>
      <c r="AL198" s="2" t="str">
        <f t="shared" si="3"/>
        <v/>
      </c>
      <c r="AM198" s="2"/>
      <c r="AN198" s="2" t="s">
        <v>1946</v>
      </c>
      <c r="AO198" s="2" t="s">
        <v>1947</v>
      </c>
      <c r="AP198" s="2"/>
    </row>
    <row r="199" spans="1:42" ht="37.5" x14ac:dyDescent="0.35">
      <c r="A199" s="2">
        <v>198</v>
      </c>
      <c r="B199" s="2" t="s">
        <v>42</v>
      </c>
      <c r="C199" s="2">
        <v>2.5</v>
      </c>
      <c r="D199" s="3" t="s">
        <v>43</v>
      </c>
      <c r="E199" s="3" t="s">
        <v>44</v>
      </c>
      <c r="F199" s="3" t="s">
        <v>679</v>
      </c>
      <c r="G199" s="2" t="s">
        <v>991</v>
      </c>
      <c r="H199" s="2" t="s">
        <v>1354</v>
      </c>
      <c r="I199" s="2" t="s">
        <v>1354</v>
      </c>
      <c r="J199" s="2" t="s">
        <v>1948</v>
      </c>
      <c r="K199" s="2"/>
      <c r="L199" s="3"/>
      <c r="M199" s="3"/>
      <c r="N199" s="2" t="s">
        <v>1949</v>
      </c>
      <c r="O199" s="2"/>
      <c r="P199" s="2"/>
      <c r="Q199" s="2"/>
      <c r="R199" s="2"/>
      <c r="S199" s="2"/>
      <c r="T199" s="2"/>
      <c r="U199" s="2">
        <v>4.7</v>
      </c>
      <c r="V199" s="2">
        <v>37</v>
      </c>
      <c r="W199" s="2"/>
      <c r="X199" s="5"/>
      <c r="Y199" s="2" t="s">
        <v>66</v>
      </c>
      <c r="Z199" s="5" t="s">
        <v>1950</v>
      </c>
      <c r="AA199" s="2">
        <v>510</v>
      </c>
      <c r="AB199" s="2"/>
      <c r="AC199" s="5" t="s">
        <v>1951</v>
      </c>
      <c r="AD199" s="5" t="s">
        <v>1952</v>
      </c>
      <c r="AE199" s="3"/>
      <c r="AF199" s="6"/>
      <c r="AG199" s="7"/>
      <c r="AH199" s="2">
        <v>0</v>
      </c>
      <c r="AI199" s="7"/>
      <c r="AJ199" s="3"/>
      <c r="AK199" s="8"/>
      <c r="AL199" s="2" t="str">
        <f t="shared" si="3"/>
        <v/>
      </c>
      <c r="AM199" s="2"/>
      <c r="AN199" s="2" t="s">
        <v>1953</v>
      </c>
      <c r="AO199" s="2" t="s">
        <v>1954</v>
      </c>
      <c r="AP199" s="2"/>
    </row>
    <row r="200" spans="1:42" ht="37.5" x14ac:dyDescent="0.35">
      <c r="A200" s="2">
        <v>199</v>
      </c>
      <c r="B200" s="2" t="s">
        <v>42</v>
      </c>
      <c r="C200" s="2">
        <v>2.4</v>
      </c>
      <c r="D200" s="3" t="s">
        <v>43</v>
      </c>
      <c r="E200" s="3" t="s">
        <v>44</v>
      </c>
      <c r="F200" s="3" t="s">
        <v>679</v>
      </c>
      <c r="G200" s="2" t="s">
        <v>107</v>
      </c>
      <c r="H200" s="2" t="s">
        <v>1955</v>
      </c>
      <c r="I200" s="2" t="s">
        <v>1955</v>
      </c>
      <c r="J200" s="2" t="s">
        <v>1956</v>
      </c>
      <c r="K200" s="2"/>
      <c r="L200" s="3"/>
      <c r="M200" s="3"/>
      <c r="N200" s="2" t="s">
        <v>1957</v>
      </c>
      <c r="O200" s="2"/>
      <c r="P200" s="2"/>
      <c r="Q200" s="2" t="s">
        <v>1958</v>
      </c>
      <c r="R200" s="2"/>
      <c r="S200" s="2"/>
      <c r="T200" s="2"/>
      <c r="U200" s="2">
        <v>5</v>
      </c>
      <c r="V200" s="2">
        <v>17</v>
      </c>
      <c r="W200" s="2"/>
      <c r="X200" s="5"/>
      <c r="Y200" s="2" t="s">
        <v>66</v>
      </c>
      <c r="Z200" s="5" t="s">
        <v>1959</v>
      </c>
      <c r="AA200" s="2">
        <v>346</v>
      </c>
      <c r="AB200" s="2"/>
      <c r="AC200" s="5"/>
      <c r="AD200" s="5" t="s">
        <v>1960</v>
      </c>
      <c r="AE200" s="3"/>
      <c r="AF200" s="6"/>
      <c r="AG200" s="7"/>
      <c r="AH200" s="2">
        <v>0</v>
      </c>
      <c r="AI200" s="7"/>
      <c r="AJ200" s="3"/>
      <c r="AK200" s="8"/>
      <c r="AL200" s="2" t="str">
        <f t="shared" si="3"/>
        <v/>
      </c>
      <c r="AM200" s="2" t="s">
        <v>1042</v>
      </c>
      <c r="AN200" s="2" t="s">
        <v>1961</v>
      </c>
      <c r="AO200" s="2" t="s">
        <v>1962</v>
      </c>
      <c r="AP200" s="2"/>
    </row>
    <row r="201" spans="1:42" ht="50" x14ac:dyDescent="0.35">
      <c r="A201" s="2">
        <v>200</v>
      </c>
      <c r="B201" s="2" t="s">
        <v>42</v>
      </c>
      <c r="C201" s="2">
        <v>2.4</v>
      </c>
      <c r="D201" s="3" t="s">
        <v>43</v>
      </c>
      <c r="E201" s="3" t="s">
        <v>44</v>
      </c>
      <c r="F201" s="3" t="s">
        <v>679</v>
      </c>
      <c r="G201" s="2" t="s">
        <v>207</v>
      </c>
      <c r="H201" s="2" t="s">
        <v>207</v>
      </c>
      <c r="I201" s="2" t="s">
        <v>1963</v>
      </c>
      <c r="J201" s="2" t="s">
        <v>1964</v>
      </c>
      <c r="K201" s="2"/>
      <c r="L201" s="3"/>
      <c r="M201" s="3"/>
      <c r="N201" s="2" t="s">
        <v>1965</v>
      </c>
      <c r="O201" s="2"/>
      <c r="P201" s="2"/>
      <c r="Q201" s="2" t="s">
        <v>1966</v>
      </c>
      <c r="R201" s="2"/>
      <c r="S201" s="4" t="s">
        <v>1967</v>
      </c>
      <c r="T201" s="2"/>
      <c r="U201" s="2">
        <v>3.9</v>
      </c>
      <c r="V201" s="2">
        <v>15</v>
      </c>
      <c r="W201" s="2"/>
      <c r="X201" s="5" t="s">
        <v>213</v>
      </c>
      <c r="Y201" s="2" t="s">
        <v>66</v>
      </c>
      <c r="Z201" s="5" t="s">
        <v>1968</v>
      </c>
      <c r="AA201" s="2">
        <v>99</v>
      </c>
      <c r="AB201" s="2"/>
      <c r="AC201" s="5" t="s">
        <v>1969</v>
      </c>
      <c r="AD201" s="5" t="s">
        <v>1970</v>
      </c>
      <c r="AE201" s="3"/>
      <c r="AF201" s="6"/>
      <c r="AG201" s="7"/>
      <c r="AH201" s="2">
        <v>0</v>
      </c>
      <c r="AI201" s="7"/>
      <c r="AJ201" s="3"/>
      <c r="AK201" s="8"/>
      <c r="AL201" s="2" t="str">
        <f t="shared" si="3"/>
        <v/>
      </c>
      <c r="AM201" s="2"/>
      <c r="AN201" s="2" t="s">
        <v>1971</v>
      </c>
      <c r="AO201" s="2" t="s">
        <v>1972</v>
      </c>
      <c r="AP201" s="2"/>
    </row>
    <row r="202" spans="1:42" ht="25" x14ac:dyDescent="0.35">
      <c r="A202" s="2">
        <v>201</v>
      </c>
      <c r="B202" s="2" t="s">
        <v>42</v>
      </c>
      <c r="C202" s="2">
        <v>2.2999999999999998</v>
      </c>
      <c r="D202" s="3" t="s">
        <v>43</v>
      </c>
      <c r="E202" s="3" t="s">
        <v>44</v>
      </c>
      <c r="F202" s="3" t="s">
        <v>679</v>
      </c>
      <c r="G202" s="2" t="s">
        <v>107</v>
      </c>
      <c r="H202" s="2" t="s">
        <v>1293</v>
      </c>
      <c r="I202" s="2" t="s">
        <v>1973</v>
      </c>
      <c r="J202" s="2" t="s">
        <v>1974</v>
      </c>
      <c r="K202" s="2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5"/>
      <c r="Y202" s="2"/>
      <c r="Z202" s="5"/>
      <c r="AA202" s="2">
        <v>317</v>
      </c>
      <c r="AB202" s="2"/>
      <c r="AC202" s="5"/>
      <c r="AD202" s="5" t="s">
        <v>1975</v>
      </c>
      <c r="AE202" s="3"/>
      <c r="AF202" s="6"/>
      <c r="AG202" s="7"/>
      <c r="AH202" s="2">
        <v>0</v>
      </c>
      <c r="AI202" s="7"/>
      <c r="AJ202" s="3"/>
      <c r="AK202" s="8"/>
      <c r="AL202" s="2" t="str">
        <f t="shared" si="3"/>
        <v/>
      </c>
      <c r="AM202" s="2" t="s">
        <v>462</v>
      </c>
      <c r="AN202" s="2" t="s">
        <v>1976</v>
      </c>
      <c r="AO202" s="2" t="s">
        <v>1977</v>
      </c>
      <c r="AP202" s="2"/>
    </row>
    <row r="203" spans="1:42" ht="25" x14ac:dyDescent="0.35">
      <c r="A203" s="2">
        <v>202</v>
      </c>
      <c r="B203" s="2" t="s">
        <v>42</v>
      </c>
      <c r="C203" s="2">
        <v>2.2999999999999998</v>
      </c>
      <c r="D203" s="3" t="s">
        <v>43</v>
      </c>
      <c r="E203" s="3" t="s">
        <v>44</v>
      </c>
      <c r="F203" s="3" t="s">
        <v>679</v>
      </c>
      <c r="G203" s="2" t="s">
        <v>107</v>
      </c>
      <c r="H203" s="2" t="s">
        <v>609</v>
      </c>
      <c r="I203" s="2" t="s">
        <v>1978</v>
      </c>
      <c r="J203" s="2" t="s">
        <v>1979</v>
      </c>
      <c r="K203" s="2"/>
      <c r="L203" s="3"/>
      <c r="M203" s="3"/>
      <c r="N203" s="2" t="s">
        <v>1980</v>
      </c>
      <c r="O203" s="2"/>
      <c r="P203" s="2"/>
      <c r="Q203" s="2"/>
      <c r="R203" s="2"/>
      <c r="S203" s="2"/>
      <c r="T203" s="2"/>
      <c r="U203" s="2"/>
      <c r="V203" s="2"/>
      <c r="W203" s="2"/>
      <c r="X203" s="5"/>
      <c r="Y203" s="2"/>
      <c r="Z203" s="5"/>
      <c r="AA203" s="2">
        <v>326</v>
      </c>
      <c r="AB203" s="2"/>
      <c r="AC203" s="5"/>
      <c r="AD203" s="5" t="s">
        <v>1981</v>
      </c>
      <c r="AE203" s="3"/>
      <c r="AF203" s="6"/>
      <c r="AG203" s="7"/>
      <c r="AH203" s="2">
        <v>0</v>
      </c>
      <c r="AI203" s="7"/>
      <c r="AJ203" s="3"/>
      <c r="AK203" s="8"/>
      <c r="AL203" s="2" t="str">
        <f t="shared" si="3"/>
        <v/>
      </c>
      <c r="AM203" s="2" t="s">
        <v>1042</v>
      </c>
      <c r="AN203" s="2" t="s">
        <v>1982</v>
      </c>
      <c r="AO203" s="2" t="s">
        <v>1983</v>
      </c>
      <c r="AP203" s="2"/>
    </row>
    <row r="204" spans="1:42" ht="25" x14ac:dyDescent="0.35">
      <c r="A204" s="2">
        <v>203</v>
      </c>
      <c r="B204" s="2" t="s">
        <v>42</v>
      </c>
      <c r="C204" s="2">
        <v>2.2000000000000002</v>
      </c>
      <c r="D204" s="3" t="s">
        <v>43</v>
      </c>
      <c r="E204" s="3" t="s">
        <v>44</v>
      </c>
      <c r="F204" s="3" t="s">
        <v>679</v>
      </c>
      <c r="G204" s="2" t="s">
        <v>107</v>
      </c>
      <c r="H204" s="2" t="s">
        <v>1955</v>
      </c>
      <c r="I204" s="2" t="s">
        <v>1984</v>
      </c>
      <c r="J204" s="2" t="s">
        <v>1985</v>
      </c>
      <c r="K204" s="2"/>
      <c r="L204" s="3"/>
      <c r="M204" s="3"/>
      <c r="N204" s="2" t="s">
        <v>1986</v>
      </c>
      <c r="O204" s="2"/>
      <c r="P204" s="2"/>
      <c r="Q204" s="2"/>
      <c r="R204" s="2"/>
      <c r="S204" s="2"/>
      <c r="T204" s="2"/>
      <c r="U204" s="2"/>
      <c r="V204" s="2"/>
      <c r="W204" s="2"/>
      <c r="X204" s="5"/>
      <c r="Y204" s="2"/>
      <c r="Z204" s="5"/>
      <c r="AA204" s="2">
        <v>301</v>
      </c>
      <c r="AB204" s="2"/>
      <c r="AC204" s="5"/>
      <c r="AD204" s="5" t="s">
        <v>1987</v>
      </c>
      <c r="AE204" s="3"/>
      <c r="AF204" s="6"/>
      <c r="AG204" s="7"/>
      <c r="AH204" s="2">
        <v>0</v>
      </c>
      <c r="AI204" s="7"/>
      <c r="AJ204" s="3"/>
      <c r="AK204" s="8"/>
      <c r="AL204" s="2" t="str">
        <f t="shared" si="3"/>
        <v/>
      </c>
      <c r="AM204" s="2" t="s">
        <v>1042</v>
      </c>
      <c r="AN204" s="2" t="s">
        <v>1988</v>
      </c>
      <c r="AO204" s="2" t="s">
        <v>1989</v>
      </c>
      <c r="AP204" s="2"/>
    </row>
    <row r="205" spans="1:42" ht="87.5" x14ac:dyDescent="0.35">
      <c r="A205" s="2">
        <v>204</v>
      </c>
      <c r="B205" s="2" t="s">
        <v>42</v>
      </c>
      <c r="C205" s="2">
        <v>2.1</v>
      </c>
      <c r="D205" s="3" t="s">
        <v>43</v>
      </c>
      <c r="E205" s="3" t="s">
        <v>44</v>
      </c>
      <c r="F205" s="3" t="s">
        <v>679</v>
      </c>
      <c r="G205" s="2" t="s">
        <v>991</v>
      </c>
      <c r="H205" s="2" t="s">
        <v>991</v>
      </c>
      <c r="I205" s="2" t="s">
        <v>991</v>
      </c>
      <c r="J205" s="2" t="s">
        <v>1990</v>
      </c>
      <c r="K205" s="2"/>
      <c r="L205" s="3"/>
      <c r="M205" s="3"/>
      <c r="N205" s="2" t="s">
        <v>1991</v>
      </c>
      <c r="O205" s="2" t="s">
        <v>1992</v>
      </c>
      <c r="P205" s="2"/>
      <c r="Q205" s="2" t="s">
        <v>1993</v>
      </c>
      <c r="R205" s="2"/>
      <c r="S205" s="4" t="s">
        <v>1994</v>
      </c>
      <c r="T205" s="2"/>
      <c r="U205" s="2">
        <v>4</v>
      </c>
      <c r="V205" s="2">
        <v>14</v>
      </c>
      <c r="W205" s="2"/>
      <c r="X205" s="5"/>
      <c r="Y205" s="2" t="s">
        <v>118</v>
      </c>
      <c r="Z205" s="5" t="s">
        <v>1995</v>
      </c>
      <c r="AA205" s="2">
        <v>156</v>
      </c>
      <c r="AB205" s="2"/>
      <c r="AC205" s="5" t="s">
        <v>1996</v>
      </c>
      <c r="AD205" s="5" t="s">
        <v>1997</v>
      </c>
      <c r="AE205" s="3"/>
      <c r="AF205" s="6"/>
      <c r="AG205" s="7"/>
      <c r="AH205" s="2">
        <v>0</v>
      </c>
      <c r="AI205" s="7"/>
      <c r="AJ205" s="3"/>
      <c r="AK205" s="8"/>
      <c r="AL205" s="2" t="str">
        <f t="shared" si="3"/>
        <v>Abrir WhatsApp</v>
      </c>
      <c r="AM205" s="2" t="s">
        <v>1998</v>
      </c>
      <c r="AN205" s="2" t="s">
        <v>1999</v>
      </c>
      <c r="AO205" s="2" t="s">
        <v>2000</v>
      </c>
      <c r="AP205" s="2"/>
    </row>
    <row r="206" spans="1:42" ht="25" x14ac:dyDescent="0.35">
      <c r="A206" s="2">
        <v>205</v>
      </c>
      <c r="B206" s="2" t="s">
        <v>42</v>
      </c>
      <c r="C206" s="2">
        <v>2.1</v>
      </c>
      <c r="D206" s="3" t="s">
        <v>43</v>
      </c>
      <c r="E206" s="3" t="s">
        <v>44</v>
      </c>
      <c r="F206" s="3" t="s">
        <v>679</v>
      </c>
      <c r="G206" s="2" t="s">
        <v>1159</v>
      </c>
      <c r="H206" s="2" t="s">
        <v>1783</v>
      </c>
      <c r="I206" s="2" t="s">
        <v>1783</v>
      </c>
      <c r="J206" s="2" t="s">
        <v>2001</v>
      </c>
      <c r="K206" s="2"/>
      <c r="L206" s="3"/>
      <c r="M206" s="3"/>
      <c r="N206" s="2" t="s">
        <v>2002</v>
      </c>
      <c r="O206" s="2" t="s">
        <v>2003</v>
      </c>
      <c r="P206" s="2"/>
      <c r="Q206" s="2" t="s">
        <v>2004</v>
      </c>
      <c r="R206" s="4" t="s">
        <v>2005</v>
      </c>
      <c r="S206" s="2"/>
      <c r="T206" s="2"/>
      <c r="U206" s="2"/>
      <c r="V206" s="2"/>
      <c r="W206" s="2"/>
      <c r="X206" s="5"/>
      <c r="Y206" s="2"/>
      <c r="Z206" s="5"/>
      <c r="AA206" s="2">
        <v>531</v>
      </c>
      <c r="AB206" s="2"/>
      <c r="AC206" s="5"/>
      <c r="AD206" s="5" t="s">
        <v>2006</v>
      </c>
      <c r="AE206" s="3"/>
      <c r="AF206" s="6"/>
      <c r="AG206" s="7"/>
      <c r="AH206" s="2">
        <v>0</v>
      </c>
      <c r="AI206" s="7"/>
      <c r="AJ206" s="3"/>
      <c r="AK206" s="8"/>
      <c r="AL206" s="2" t="str">
        <f t="shared" si="3"/>
        <v>Abrir WhatsApp</v>
      </c>
      <c r="AM206" s="2" t="s">
        <v>2007</v>
      </c>
      <c r="AN206" s="2" t="s">
        <v>2008</v>
      </c>
      <c r="AO206" s="2" t="s">
        <v>2009</v>
      </c>
      <c r="AP206" s="2"/>
    </row>
    <row r="207" spans="1:42" ht="87.5" x14ac:dyDescent="0.35">
      <c r="A207" s="2">
        <v>206</v>
      </c>
      <c r="B207" s="2" t="s">
        <v>42</v>
      </c>
      <c r="C207" s="2">
        <v>2</v>
      </c>
      <c r="D207" s="3" t="s">
        <v>43</v>
      </c>
      <c r="E207" s="3" t="s">
        <v>44</v>
      </c>
      <c r="F207" s="3" t="s">
        <v>679</v>
      </c>
      <c r="G207" s="2" t="s">
        <v>393</v>
      </c>
      <c r="H207" s="2" t="s">
        <v>393</v>
      </c>
      <c r="I207" s="2" t="s">
        <v>393</v>
      </c>
      <c r="J207" s="2" t="s">
        <v>2010</v>
      </c>
      <c r="K207" s="2"/>
      <c r="L207" s="3"/>
      <c r="M207" s="3"/>
      <c r="N207" s="2" t="s">
        <v>2011</v>
      </c>
      <c r="O207" s="2" t="s">
        <v>2012</v>
      </c>
      <c r="P207" s="2"/>
      <c r="Q207" s="2" t="s">
        <v>2013</v>
      </c>
      <c r="R207" s="4" t="s">
        <v>2014</v>
      </c>
      <c r="S207" s="4" t="s">
        <v>2015</v>
      </c>
      <c r="T207" s="4" t="s">
        <v>2016</v>
      </c>
      <c r="U207" s="2">
        <v>4.7</v>
      </c>
      <c r="V207" s="2">
        <v>39</v>
      </c>
      <c r="W207" s="2" t="s">
        <v>2017</v>
      </c>
      <c r="X207" s="5" t="s">
        <v>2018</v>
      </c>
      <c r="Y207" s="2" t="s">
        <v>66</v>
      </c>
      <c r="Z207" s="5" t="s">
        <v>2019</v>
      </c>
      <c r="AA207" s="2">
        <v>382</v>
      </c>
      <c r="AB207" s="2" t="s">
        <v>2020</v>
      </c>
      <c r="AC207" s="5" t="s">
        <v>2021</v>
      </c>
      <c r="AD207" s="5" t="s">
        <v>2022</v>
      </c>
      <c r="AE207" s="3"/>
      <c r="AF207" s="6"/>
      <c r="AG207" s="7"/>
      <c r="AH207" s="2">
        <v>0</v>
      </c>
      <c r="AI207" s="7"/>
      <c r="AJ207" s="3"/>
      <c r="AK207" s="8"/>
      <c r="AL207" s="2" t="str">
        <f t="shared" si="3"/>
        <v>Abrir WhatsApp</v>
      </c>
      <c r="AM207" s="2" t="s">
        <v>2023</v>
      </c>
      <c r="AN207" s="2" t="s">
        <v>2024</v>
      </c>
      <c r="AO207" s="2" t="s">
        <v>2025</v>
      </c>
      <c r="AP207" s="2"/>
    </row>
    <row r="208" spans="1:42" ht="62.5" x14ac:dyDescent="0.35">
      <c r="A208" s="2">
        <v>207</v>
      </c>
      <c r="B208" s="2" t="s">
        <v>42</v>
      </c>
      <c r="C208" s="2">
        <v>1.9</v>
      </c>
      <c r="D208" s="3" t="s">
        <v>43</v>
      </c>
      <c r="E208" s="3" t="s">
        <v>44</v>
      </c>
      <c r="F208" s="3" t="s">
        <v>679</v>
      </c>
      <c r="G208" s="2" t="s">
        <v>207</v>
      </c>
      <c r="H208" s="2" t="s">
        <v>1274</v>
      </c>
      <c r="I208" s="2" t="s">
        <v>1274</v>
      </c>
      <c r="J208" s="2" t="s">
        <v>2026</v>
      </c>
      <c r="K208" s="2"/>
      <c r="L208" s="3"/>
      <c r="M208" s="3"/>
      <c r="N208" s="2" t="s">
        <v>2027</v>
      </c>
      <c r="O208" s="2" t="s">
        <v>2028</v>
      </c>
      <c r="P208" s="2" t="s">
        <v>130</v>
      </c>
      <c r="Q208" s="2" t="s">
        <v>2029</v>
      </c>
      <c r="R208" s="4" t="s">
        <v>2030</v>
      </c>
      <c r="S208" s="4" t="s">
        <v>2031</v>
      </c>
      <c r="T208" s="4" t="s">
        <v>2032</v>
      </c>
      <c r="U208" s="2"/>
      <c r="V208" s="2"/>
      <c r="W208" s="2"/>
      <c r="X208" s="5" t="s">
        <v>2033</v>
      </c>
      <c r="Y208" s="2"/>
      <c r="Z208" s="5"/>
      <c r="AA208" s="2">
        <v>353</v>
      </c>
      <c r="AB208" s="2" t="s">
        <v>2034</v>
      </c>
      <c r="AC208" s="5"/>
      <c r="AD208" s="5" t="s">
        <v>2035</v>
      </c>
      <c r="AE208" s="3"/>
      <c r="AF208" s="6"/>
      <c r="AG208" s="7"/>
      <c r="AH208" s="2">
        <v>0</v>
      </c>
      <c r="AI208" s="7"/>
      <c r="AJ208" s="3"/>
      <c r="AK208" s="8"/>
      <c r="AL208" s="2" t="str">
        <f t="shared" si="3"/>
        <v>Abrir WhatsApp</v>
      </c>
      <c r="AM208" s="2" t="s">
        <v>2036</v>
      </c>
      <c r="AN208" s="2" t="s">
        <v>2037</v>
      </c>
      <c r="AO208" s="2" t="s">
        <v>2038</v>
      </c>
      <c r="AP208" s="2"/>
    </row>
    <row r="209" spans="1:42" ht="37.5" x14ac:dyDescent="0.35">
      <c r="A209" s="2">
        <v>208</v>
      </c>
      <c r="B209" s="2" t="s">
        <v>42</v>
      </c>
      <c r="C209" s="2">
        <v>1.9</v>
      </c>
      <c r="D209" s="3" t="s">
        <v>43</v>
      </c>
      <c r="E209" s="3" t="s">
        <v>44</v>
      </c>
      <c r="F209" s="3" t="s">
        <v>679</v>
      </c>
      <c r="G209" s="2" t="s">
        <v>991</v>
      </c>
      <c r="H209" s="2" t="s">
        <v>1148</v>
      </c>
      <c r="I209" s="2" t="s">
        <v>2039</v>
      </c>
      <c r="J209" s="2" t="s">
        <v>2040</v>
      </c>
      <c r="K209" s="2"/>
      <c r="L209" s="3"/>
      <c r="M209" s="3"/>
      <c r="N209" s="2"/>
      <c r="O209" s="2" t="s">
        <v>2041</v>
      </c>
      <c r="P209" s="2"/>
      <c r="Q209" s="2"/>
      <c r="R209" s="2"/>
      <c r="S209" s="4" t="s">
        <v>2042</v>
      </c>
      <c r="T209" s="4" t="s">
        <v>2043</v>
      </c>
      <c r="U209" s="2"/>
      <c r="V209" s="2"/>
      <c r="W209" s="2"/>
      <c r="X209" s="5"/>
      <c r="Y209" s="2"/>
      <c r="Z209" s="5"/>
      <c r="AA209" s="2">
        <v>465</v>
      </c>
      <c r="AB209" s="2"/>
      <c r="AC209" s="5"/>
      <c r="AD209" s="5" t="s">
        <v>2044</v>
      </c>
      <c r="AE209" s="3"/>
      <c r="AF209" s="6"/>
      <c r="AG209" s="7"/>
      <c r="AH209" s="2">
        <v>0</v>
      </c>
      <c r="AI209" s="7"/>
      <c r="AJ209" s="3"/>
      <c r="AK209" s="8"/>
      <c r="AL209" s="2" t="str">
        <f t="shared" si="3"/>
        <v>Abrir WhatsApp</v>
      </c>
      <c r="AM209" s="2" t="s">
        <v>2045</v>
      </c>
      <c r="AN209" s="2" t="s">
        <v>2046</v>
      </c>
      <c r="AO209" s="2" t="s">
        <v>2047</v>
      </c>
      <c r="AP209" s="2"/>
    </row>
    <row r="210" spans="1:42" ht="37.5" x14ac:dyDescent="0.35">
      <c r="A210" s="2">
        <v>209</v>
      </c>
      <c r="B210" s="2" t="s">
        <v>42</v>
      </c>
      <c r="C210" s="2">
        <v>1.8</v>
      </c>
      <c r="D210" s="3" t="s">
        <v>43</v>
      </c>
      <c r="E210" s="3" t="s">
        <v>44</v>
      </c>
      <c r="F210" s="3" t="s">
        <v>679</v>
      </c>
      <c r="G210" s="2" t="s">
        <v>991</v>
      </c>
      <c r="H210" s="2" t="s">
        <v>991</v>
      </c>
      <c r="I210" s="2" t="s">
        <v>991</v>
      </c>
      <c r="J210" s="2" t="s">
        <v>2048</v>
      </c>
      <c r="K210" s="2"/>
      <c r="L210" s="3"/>
      <c r="M210" s="3"/>
      <c r="N210" s="2" t="s">
        <v>2049</v>
      </c>
      <c r="O210" s="2"/>
      <c r="P210" s="2"/>
      <c r="Q210" s="2" t="s">
        <v>2050</v>
      </c>
      <c r="R210" s="4" t="s">
        <v>2051</v>
      </c>
      <c r="S210" s="4" t="s">
        <v>2052</v>
      </c>
      <c r="T210" s="2"/>
      <c r="U210" s="2">
        <v>4.5999999999999996</v>
      </c>
      <c r="V210" s="2">
        <v>18</v>
      </c>
      <c r="W210" s="2"/>
      <c r="X210" s="5"/>
      <c r="Y210" s="2" t="s">
        <v>66</v>
      </c>
      <c r="Z210" s="5" t="s">
        <v>2053</v>
      </c>
      <c r="AA210" s="2">
        <v>438</v>
      </c>
      <c r="AB210" s="2" t="s">
        <v>2054</v>
      </c>
      <c r="AC210" s="5"/>
      <c r="AD210" s="5" t="s">
        <v>2055</v>
      </c>
      <c r="AE210" s="3"/>
      <c r="AF210" s="6"/>
      <c r="AG210" s="7"/>
      <c r="AH210" s="2">
        <v>0</v>
      </c>
      <c r="AI210" s="7"/>
      <c r="AJ210" s="3"/>
      <c r="AK210" s="8"/>
      <c r="AL210" s="2" t="str">
        <f t="shared" si="3"/>
        <v/>
      </c>
      <c r="AM210" s="2" t="s">
        <v>2056</v>
      </c>
      <c r="AN210" s="2" t="s">
        <v>2057</v>
      </c>
      <c r="AO210" s="2" t="s">
        <v>2058</v>
      </c>
      <c r="AP210" s="2"/>
    </row>
    <row r="211" spans="1:42" ht="137.5" x14ac:dyDescent="0.35">
      <c r="A211" s="2">
        <v>210</v>
      </c>
      <c r="B211" s="2" t="s">
        <v>42</v>
      </c>
      <c r="C211" s="2">
        <v>1.8</v>
      </c>
      <c r="D211" s="3" t="s">
        <v>43</v>
      </c>
      <c r="E211" s="3" t="s">
        <v>44</v>
      </c>
      <c r="F211" s="3" t="s">
        <v>679</v>
      </c>
      <c r="G211" s="2" t="s">
        <v>991</v>
      </c>
      <c r="H211" s="2" t="s">
        <v>1148</v>
      </c>
      <c r="I211" s="2" t="s">
        <v>1148</v>
      </c>
      <c r="J211" s="2" t="s">
        <v>2059</v>
      </c>
      <c r="K211" s="2"/>
      <c r="L211" s="3"/>
      <c r="M211" s="3"/>
      <c r="N211" s="2" t="s">
        <v>2060</v>
      </c>
      <c r="O211" s="2" t="s">
        <v>2061</v>
      </c>
      <c r="P211" s="2"/>
      <c r="Q211" s="2" t="s">
        <v>2062</v>
      </c>
      <c r="R211" s="2"/>
      <c r="S211" s="4" t="s">
        <v>2063</v>
      </c>
      <c r="T211" s="2"/>
      <c r="U211" s="2">
        <v>4.3</v>
      </c>
      <c r="V211" s="2">
        <v>66</v>
      </c>
      <c r="W211" s="2"/>
      <c r="X211" s="5" t="s">
        <v>2064</v>
      </c>
      <c r="Y211" s="2" t="s">
        <v>66</v>
      </c>
      <c r="Z211" s="5" t="s">
        <v>2065</v>
      </c>
      <c r="AA211" s="2">
        <v>336</v>
      </c>
      <c r="AB211" s="2" t="s">
        <v>2066</v>
      </c>
      <c r="AC211" s="5" t="s">
        <v>2067</v>
      </c>
      <c r="AD211" s="5" t="s">
        <v>2068</v>
      </c>
      <c r="AE211" s="3"/>
      <c r="AF211" s="6"/>
      <c r="AG211" s="7"/>
      <c r="AH211" s="2">
        <v>0</v>
      </c>
      <c r="AI211" s="7"/>
      <c r="AJ211" s="3"/>
      <c r="AK211" s="8"/>
      <c r="AL211" s="2" t="str">
        <f t="shared" si="3"/>
        <v>Abrir WhatsApp</v>
      </c>
      <c r="AM211" s="2" t="s">
        <v>2069</v>
      </c>
      <c r="AN211" s="2" t="s">
        <v>2070</v>
      </c>
      <c r="AO211" s="2" t="s">
        <v>2071</v>
      </c>
      <c r="AP211" s="2"/>
    </row>
    <row r="212" spans="1:42" ht="62.5" x14ac:dyDescent="0.35">
      <c r="A212" s="2">
        <v>211</v>
      </c>
      <c r="B212" s="2" t="s">
        <v>42</v>
      </c>
      <c r="C212" s="2">
        <v>1.6</v>
      </c>
      <c r="D212" s="3" t="s">
        <v>43</v>
      </c>
      <c r="E212" s="3" t="s">
        <v>44</v>
      </c>
      <c r="F212" s="3" t="s">
        <v>679</v>
      </c>
      <c r="G212" s="2" t="s">
        <v>393</v>
      </c>
      <c r="H212" s="2" t="s">
        <v>1764</v>
      </c>
      <c r="I212" s="2" t="s">
        <v>1764</v>
      </c>
      <c r="J212" s="2" t="s">
        <v>2072</v>
      </c>
      <c r="K212" s="2"/>
      <c r="L212" s="3"/>
      <c r="M212" s="3"/>
      <c r="N212" s="2" t="s">
        <v>2073</v>
      </c>
      <c r="O212" s="2" t="s">
        <v>2074</v>
      </c>
      <c r="P212" s="2"/>
      <c r="Q212" s="2" t="s">
        <v>2075</v>
      </c>
      <c r="R212" s="4" t="s">
        <v>2076</v>
      </c>
      <c r="S212" s="4" t="s">
        <v>2077</v>
      </c>
      <c r="T212" s="4" t="s">
        <v>2078</v>
      </c>
      <c r="U212" s="2" t="s">
        <v>2079</v>
      </c>
      <c r="V212" s="2">
        <v>9</v>
      </c>
      <c r="W212" s="2"/>
      <c r="X212" s="5"/>
      <c r="Y212" s="2" t="s">
        <v>66</v>
      </c>
      <c r="Z212" s="5" t="s">
        <v>2080</v>
      </c>
      <c r="AA212" s="2">
        <v>393</v>
      </c>
      <c r="AB212" s="2" t="s">
        <v>2081</v>
      </c>
      <c r="AC212" s="5"/>
      <c r="AD212" s="5" t="s">
        <v>2082</v>
      </c>
      <c r="AE212" s="3"/>
      <c r="AF212" s="6"/>
      <c r="AG212" s="7"/>
      <c r="AH212" s="2">
        <v>0</v>
      </c>
      <c r="AI212" s="7"/>
      <c r="AJ212" s="3"/>
      <c r="AK212" s="8"/>
      <c r="AL212" s="2" t="str">
        <f t="shared" si="3"/>
        <v>Abrir WhatsApp</v>
      </c>
      <c r="AM212" s="2"/>
      <c r="AN212" s="2" t="s">
        <v>2083</v>
      </c>
      <c r="AO212" s="2" t="s">
        <v>2084</v>
      </c>
      <c r="AP212" s="2"/>
    </row>
    <row r="213" spans="1:42" ht="75" x14ac:dyDescent="0.35">
      <c r="A213" s="2">
        <v>212</v>
      </c>
      <c r="B213" s="2" t="s">
        <v>42</v>
      </c>
      <c r="C213" s="2">
        <v>1.6</v>
      </c>
      <c r="D213" s="3" t="s">
        <v>43</v>
      </c>
      <c r="E213" s="3" t="s">
        <v>44</v>
      </c>
      <c r="F213" s="3" t="s">
        <v>679</v>
      </c>
      <c r="G213" s="2" t="s">
        <v>393</v>
      </c>
      <c r="H213" s="2" t="s">
        <v>393</v>
      </c>
      <c r="I213" s="2" t="s">
        <v>393</v>
      </c>
      <c r="J213" s="2" t="s">
        <v>2085</v>
      </c>
      <c r="K213" s="2"/>
      <c r="L213" s="3"/>
      <c r="M213" s="3"/>
      <c r="N213" s="2"/>
      <c r="O213" s="2" t="s">
        <v>2086</v>
      </c>
      <c r="P213" s="2"/>
      <c r="Q213" s="2"/>
      <c r="R213" s="2"/>
      <c r="S213" s="4" t="s">
        <v>2087</v>
      </c>
      <c r="T213" s="2"/>
      <c r="U213" s="2">
        <v>4</v>
      </c>
      <c r="V213" s="2">
        <v>4</v>
      </c>
      <c r="W213" s="2"/>
      <c r="X213" s="5"/>
      <c r="Y213" s="2" t="s">
        <v>66</v>
      </c>
      <c r="Z213" s="5" t="s">
        <v>2088</v>
      </c>
      <c r="AA213" s="2">
        <v>28</v>
      </c>
      <c r="AB213" s="2"/>
      <c r="AC213" s="5" t="s">
        <v>2089</v>
      </c>
      <c r="AD213" s="5" t="s">
        <v>2090</v>
      </c>
      <c r="AE213" s="3"/>
      <c r="AF213" s="6"/>
      <c r="AG213" s="7"/>
      <c r="AH213" s="2">
        <v>0</v>
      </c>
      <c r="AI213" s="7"/>
      <c r="AJ213" s="3"/>
      <c r="AK213" s="8"/>
      <c r="AL213" s="2" t="str">
        <f t="shared" si="3"/>
        <v>Abrir WhatsApp</v>
      </c>
      <c r="AM213" s="2"/>
      <c r="AN213" s="2" t="s">
        <v>2091</v>
      </c>
      <c r="AO213" s="2" t="s">
        <v>2092</v>
      </c>
      <c r="AP213" s="2"/>
    </row>
    <row r="214" spans="1:42" ht="50" x14ac:dyDescent="0.35">
      <c r="A214" s="2">
        <v>213</v>
      </c>
      <c r="B214" s="2" t="s">
        <v>42</v>
      </c>
      <c r="C214" s="2">
        <v>1.5</v>
      </c>
      <c r="D214" s="3" t="s">
        <v>43</v>
      </c>
      <c r="E214" s="3" t="s">
        <v>44</v>
      </c>
      <c r="F214" s="3" t="s">
        <v>679</v>
      </c>
      <c r="G214" s="2" t="s">
        <v>393</v>
      </c>
      <c r="H214" s="2" t="s">
        <v>393</v>
      </c>
      <c r="I214" s="2" t="s">
        <v>393</v>
      </c>
      <c r="J214" s="2" t="s">
        <v>2093</v>
      </c>
      <c r="K214" s="2"/>
      <c r="L214" s="3"/>
      <c r="M214" s="3"/>
      <c r="N214" s="2" t="s">
        <v>2094</v>
      </c>
      <c r="O214" s="2" t="s">
        <v>2095</v>
      </c>
      <c r="P214" s="2"/>
      <c r="Q214" s="2" t="s">
        <v>2096</v>
      </c>
      <c r="R214" s="4" t="s">
        <v>2097</v>
      </c>
      <c r="S214" s="4" t="s">
        <v>2098</v>
      </c>
      <c r="T214" s="2"/>
      <c r="U214" s="2">
        <v>5</v>
      </c>
      <c r="V214" s="2">
        <v>9</v>
      </c>
      <c r="W214" s="2" t="s">
        <v>2099</v>
      </c>
      <c r="X214" s="5"/>
      <c r="Y214" s="2" t="s">
        <v>66</v>
      </c>
      <c r="Z214" s="5" t="s">
        <v>2019</v>
      </c>
      <c r="AA214" s="2">
        <v>375</v>
      </c>
      <c r="AB214" s="2"/>
      <c r="AC214" s="5"/>
      <c r="AD214" s="5" t="s">
        <v>2100</v>
      </c>
      <c r="AE214" s="3"/>
      <c r="AF214" s="6"/>
      <c r="AG214" s="7"/>
      <c r="AH214" s="2">
        <v>0</v>
      </c>
      <c r="AI214" s="7"/>
      <c r="AJ214" s="3"/>
      <c r="AK214" s="8"/>
      <c r="AL214" s="2" t="str">
        <f t="shared" si="3"/>
        <v>Abrir WhatsApp</v>
      </c>
      <c r="AM214" s="2" t="s">
        <v>2101</v>
      </c>
      <c r="AN214" s="2" t="s">
        <v>2102</v>
      </c>
      <c r="AO214" s="2" t="s">
        <v>2103</v>
      </c>
      <c r="AP214" s="2"/>
    </row>
    <row r="215" spans="1:42" ht="62.5" x14ac:dyDescent="0.35">
      <c r="A215" s="2">
        <v>214</v>
      </c>
      <c r="B215" s="2" t="s">
        <v>42</v>
      </c>
      <c r="C215" s="2">
        <v>1.4</v>
      </c>
      <c r="D215" s="3" t="s">
        <v>43</v>
      </c>
      <c r="E215" s="3" t="s">
        <v>44</v>
      </c>
      <c r="F215" s="3" t="s">
        <v>679</v>
      </c>
      <c r="G215" s="2" t="s">
        <v>393</v>
      </c>
      <c r="H215" s="2" t="s">
        <v>2104</v>
      </c>
      <c r="I215" s="2" t="s">
        <v>2104</v>
      </c>
      <c r="J215" s="2" t="s">
        <v>2105</v>
      </c>
      <c r="K215" s="2"/>
      <c r="L215" s="3"/>
      <c r="M215" s="3"/>
      <c r="N215" s="2"/>
      <c r="O215" s="2" t="s">
        <v>2106</v>
      </c>
      <c r="P215" s="2"/>
      <c r="Q215" s="2"/>
      <c r="R215" s="2"/>
      <c r="S215" s="4" t="s">
        <v>2107</v>
      </c>
      <c r="T215" s="2"/>
      <c r="U215" s="2" t="s">
        <v>1132</v>
      </c>
      <c r="V215" s="2">
        <v>4</v>
      </c>
      <c r="W215" s="2"/>
      <c r="X215" s="5"/>
      <c r="Y215" s="2" t="s">
        <v>66</v>
      </c>
      <c r="Z215" s="5" t="s">
        <v>2108</v>
      </c>
      <c r="AA215" s="2">
        <v>361</v>
      </c>
      <c r="AB215" s="2"/>
      <c r="AC215" s="5"/>
      <c r="AD215" s="5" t="s">
        <v>2109</v>
      </c>
      <c r="AE215" s="3"/>
      <c r="AF215" s="6"/>
      <c r="AG215" s="7"/>
      <c r="AH215" s="2">
        <v>0</v>
      </c>
      <c r="AI215" s="7"/>
      <c r="AJ215" s="3"/>
      <c r="AK215" s="8"/>
      <c r="AL215" s="2" t="str">
        <f t="shared" si="3"/>
        <v>Abrir WhatsApp</v>
      </c>
      <c r="AM215" s="2"/>
      <c r="AN215" s="2" t="s">
        <v>2110</v>
      </c>
      <c r="AO215" s="2" t="s">
        <v>2111</v>
      </c>
      <c r="AP215" s="2"/>
    </row>
    <row r="216" spans="1:42" ht="50" x14ac:dyDescent="0.35">
      <c r="A216" s="2">
        <v>215</v>
      </c>
      <c r="B216" s="2" t="s">
        <v>42</v>
      </c>
      <c r="C216" s="2">
        <v>1.4</v>
      </c>
      <c r="D216" s="3" t="s">
        <v>43</v>
      </c>
      <c r="E216" s="3" t="s">
        <v>44</v>
      </c>
      <c r="F216" s="3" t="s">
        <v>679</v>
      </c>
      <c r="G216" s="2" t="s">
        <v>393</v>
      </c>
      <c r="H216" s="2" t="s">
        <v>2112</v>
      </c>
      <c r="I216" s="2" t="s">
        <v>2112</v>
      </c>
      <c r="J216" s="2" t="s">
        <v>2113</v>
      </c>
      <c r="K216" s="2"/>
      <c r="L216" s="3"/>
      <c r="M216" s="3"/>
      <c r="N216" s="2" t="s">
        <v>2114</v>
      </c>
      <c r="O216" s="2"/>
      <c r="P216" s="2"/>
      <c r="Q216" s="2"/>
      <c r="R216" s="2"/>
      <c r="S216" s="4" t="s">
        <v>2115</v>
      </c>
      <c r="T216" s="2"/>
      <c r="U216" s="2"/>
      <c r="V216" s="2">
        <v>4</v>
      </c>
      <c r="W216" s="2"/>
      <c r="X216" s="5"/>
      <c r="Y216" s="2"/>
      <c r="Z216" s="5"/>
      <c r="AA216" s="2">
        <v>351</v>
      </c>
      <c r="AB216" s="2"/>
      <c r="AC216" s="5"/>
      <c r="AD216" s="5" t="s">
        <v>2116</v>
      </c>
      <c r="AE216" s="3"/>
      <c r="AF216" s="6"/>
      <c r="AG216" s="7"/>
      <c r="AH216" s="2">
        <v>0</v>
      </c>
      <c r="AI216" s="7"/>
      <c r="AJ216" s="3"/>
      <c r="AK216" s="8"/>
      <c r="AL216" s="2" t="str">
        <f t="shared" si="3"/>
        <v/>
      </c>
      <c r="AM216" s="2"/>
      <c r="AN216" s="2" t="s">
        <v>2117</v>
      </c>
      <c r="AO216" s="2" t="s">
        <v>2118</v>
      </c>
      <c r="AP216" s="2"/>
    </row>
    <row r="217" spans="1:42" ht="50" x14ac:dyDescent="0.35">
      <c r="A217" s="2">
        <v>216</v>
      </c>
      <c r="B217" s="2" t="s">
        <v>42</v>
      </c>
      <c r="C217" s="2">
        <v>1.4</v>
      </c>
      <c r="D217" s="3" t="s">
        <v>43</v>
      </c>
      <c r="E217" s="3" t="s">
        <v>44</v>
      </c>
      <c r="F217" s="3" t="s">
        <v>679</v>
      </c>
      <c r="G217" s="2" t="s">
        <v>393</v>
      </c>
      <c r="H217" s="2" t="s">
        <v>2119</v>
      </c>
      <c r="I217" s="2" t="s">
        <v>2119</v>
      </c>
      <c r="J217" s="2" t="s">
        <v>2120</v>
      </c>
      <c r="K217" s="2"/>
      <c r="L217" s="3"/>
      <c r="M217" s="3"/>
      <c r="N217" s="2" t="s">
        <v>2121</v>
      </c>
      <c r="O217" s="2" t="s">
        <v>2122</v>
      </c>
      <c r="P217" s="2"/>
      <c r="Q217" s="2" t="s">
        <v>2123</v>
      </c>
      <c r="R217" s="2"/>
      <c r="S217" s="4" t="s">
        <v>2124</v>
      </c>
      <c r="T217" s="2"/>
      <c r="U217" s="2"/>
      <c r="V217" s="2"/>
      <c r="W217" s="2"/>
      <c r="X217" s="5"/>
      <c r="Y217" s="2"/>
      <c r="Z217" s="5"/>
      <c r="AA217" s="2">
        <v>359</v>
      </c>
      <c r="AB217" s="2"/>
      <c r="AC217" s="5"/>
      <c r="AD217" s="5" t="s">
        <v>2125</v>
      </c>
      <c r="AE217" s="3"/>
      <c r="AF217" s="6"/>
      <c r="AG217" s="7"/>
      <c r="AH217" s="2">
        <v>0</v>
      </c>
      <c r="AI217" s="7"/>
      <c r="AJ217" s="3"/>
      <c r="AK217" s="8"/>
      <c r="AL217" s="2" t="str">
        <f t="shared" si="3"/>
        <v>Abrir WhatsApp</v>
      </c>
      <c r="AM217" s="2" t="s">
        <v>2126</v>
      </c>
      <c r="AN217" s="2" t="s">
        <v>2127</v>
      </c>
      <c r="AO217" s="2" t="s">
        <v>2128</v>
      </c>
      <c r="AP217" s="2"/>
    </row>
    <row r="218" spans="1:42" ht="25" x14ac:dyDescent="0.35">
      <c r="A218" s="2">
        <v>217</v>
      </c>
      <c r="B218" s="2" t="s">
        <v>42</v>
      </c>
      <c r="C218" s="2">
        <v>1.4</v>
      </c>
      <c r="D218" s="3" t="s">
        <v>43</v>
      </c>
      <c r="E218" s="3" t="s">
        <v>44</v>
      </c>
      <c r="F218" s="3" t="s">
        <v>679</v>
      </c>
      <c r="G218" s="2" t="s">
        <v>1159</v>
      </c>
      <c r="H218" s="2" t="s">
        <v>2129</v>
      </c>
      <c r="I218" s="2" t="s">
        <v>2129</v>
      </c>
      <c r="J218" s="2" t="s">
        <v>2130</v>
      </c>
      <c r="K218" s="2"/>
      <c r="L218" s="3"/>
      <c r="M218" s="3"/>
      <c r="N218" s="2" t="s">
        <v>2131</v>
      </c>
      <c r="O218" s="2"/>
      <c r="P218" s="2"/>
      <c r="Q218" s="2" t="s">
        <v>2132</v>
      </c>
      <c r="R218" s="2"/>
      <c r="S218" s="4" t="s">
        <v>2133</v>
      </c>
      <c r="T218" s="2"/>
      <c r="U218" s="2">
        <v>4.8</v>
      </c>
      <c r="V218" s="2">
        <v>23</v>
      </c>
      <c r="W218" s="2"/>
      <c r="X218" s="5"/>
      <c r="Y218" s="2" t="s">
        <v>66</v>
      </c>
      <c r="Z218" s="5" t="s">
        <v>2134</v>
      </c>
      <c r="AA218" s="2">
        <v>340</v>
      </c>
      <c r="AB218" s="2"/>
      <c r="AC218" s="5"/>
      <c r="AD218" s="5" t="s">
        <v>2135</v>
      </c>
      <c r="AE218" s="3"/>
      <c r="AF218" s="6"/>
      <c r="AG218" s="7"/>
      <c r="AH218" s="2">
        <v>0</v>
      </c>
      <c r="AI218" s="7"/>
      <c r="AJ218" s="3"/>
      <c r="AK218" s="8"/>
      <c r="AL218" s="2" t="str">
        <f t="shared" si="3"/>
        <v/>
      </c>
      <c r="AM218" s="2"/>
      <c r="AN218" s="2" t="s">
        <v>2136</v>
      </c>
      <c r="AO218" s="2" t="s">
        <v>2137</v>
      </c>
      <c r="AP218" s="2"/>
    </row>
    <row r="219" spans="1:42" ht="75" x14ac:dyDescent="0.35">
      <c r="A219" s="2">
        <v>218</v>
      </c>
      <c r="B219" s="2" t="s">
        <v>42</v>
      </c>
      <c r="C219" s="2">
        <v>1.3</v>
      </c>
      <c r="D219" s="3" t="s">
        <v>43</v>
      </c>
      <c r="E219" s="3" t="s">
        <v>44</v>
      </c>
      <c r="F219" s="3" t="s">
        <v>679</v>
      </c>
      <c r="G219" s="2" t="s">
        <v>393</v>
      </c>
      <c r="H219" s="2" t="s">
        <v>393</v>
      </c>
      <c r="I219" s="2" t="s">
        <v>393</v>
      </c>
      <c r="J219" s="2" t="s">
        <v>2138</v>
      </c>
      <c r="K219" s="2"/>
      <c r="L219" s="3"/>
      <c r="M219" s="3"/>
      <c r="N219" s="2" t="s">
        <v>2139</v>
      </c>
      <c r="O219" s="2"/>
      <c r="P219" s="2"/>
      <c r="Q219" s="2" t="s">
        <v>2140</v>
      </c>
      <c r="R219" s="4" t="s">
        <v>2141</v>
      </c>
      <c r="S219" s="4" t="s">
        <v>2142</v>
      </c>
      <c r="T219" s="2"/>
      <c r="U219" s="2">
        <v>4.5999999999999996</v>
      </c>
      <c r="V219" s="2">
        <v>15</v>
      </c>
      <c r="W219" s="2" t="s">
        <v>2143</v>
      </c>
      <c r="X219" s="5"/>
      <c r="Y219" s="2" t="s">
        <v>118</v>
      </c>
      <c r="Z219" s="5" t="s">
        <v>2144</v>
      </c>
      <c r="AA219" s="2">
        <v>324</v>
      </c>
      <c r="AB219" s="2" t="s">
        <v>2145</v>
      </c>
      <c r="AC219" s="5"/>
      <c r="AD219" s="5" t="s">
        <v>2146</v>
      </c>
      <c r="AE219" s="3"/>
      <c r="AF219" s="6"/>
      <c r="AG219" s="7"/>
      <c r="AH219" s="2">
        <v>0</v>
      </c>
      <c r="AI219" s="7"/>
      <c r="AJ219" s="3"/>
      <c r="AK219" s="8"/>
      <c r="AL219" s="2" t="str">
        <f t="shared" si="3"/>
        <v/>
      </c>
      <c r="AM219" s="2" t="s">
        <v>2147</v>
      </c>
      <c r="AN219" s="2" t="s">
        <v>2148</v>
      </c>
      <c r="AO219" s="2" t="s">
        <v>2149</v>
      </c>
      <c r="AP219" s="2"/>
    </row>
    <row r="220" spans="1:42" ht="50" x14ac:dyDescent="0.35">
      <c r="A220" s="2">
        <v>219</v>
      </c>
      <c r="B220" s="2" t="s">
        <v>42</v>
      </c>
      <c r="C220" s="2">
        <v>1.3</v>
      </c>
      <c r="D220" s="3" t="s">
        <v>43</v>
      </c>
      <c r="E220" s="3" t="s">
        <v>44</v>
      </c>
      <c r="F220" s="3" t="s">
        <v>679</v>
      </c>
      <c r="G220" s="2" t="s">
        <v>393</v>
      </c>
      <c r="H220" s="2" t="s">
        <v>740</v>
      </c>
      <c r="I220" s="2" t="s">
        <v>740</v>
      </c>
      <c r="J220" s="2" t="s">
        <v>2150</v>
      </c>
      <c r="K220" s="2"/>
      <c r="L220" s="3"/>
      <c r="M220" s="3"/>
      <c r="N220" s="2" t="s">
        <v>2151</v>
      </c>
      <c r="O220" s="2"/>
      <c r="P220" s="2"/>
      <c r="Q220" s="2" t="s">
        <v>2152</v>
      </c>
      <c r="R220" s="4" t="s">
        <v>2153</v>
      </c>
      <c r="S220" s="4" t="s">
        <v>2154</v>
      </c>
      <c r="T220" s="2"/>
      <c r="U220" s="2">
        <v>5</v>
      </c>
      <c r="V220" s="2">
        <v>10</v>
      </c>
      <c r="W220" s="2"/>
      <c r="X220" s="5" t="s">
        <v>747</v>
      </c>
      <c r="Y220" s="2" t="s">
        <v>66</v>
      </c>
      <c r="Z220" s="5" t="s">
        <v>2155</v>
      </c>
      <c r="AA220" s="2">
        <v>327</v>
      </c>
      <c r="AB220" s="2"/>
      <c r="AC220" s="5"/>
      <c r="AD220" s="5" t="s">
        <v>2156</v>
      </c>
      <c r="AE220" s="3"/>
      <c r="AF220" s="6"/>
      <c r="AG220" s="7"/>
      <c r="AH220" s="2">
        <v>0</v>
      </c>
      <c r="AI220" s="7"/>
      <c r="AJ220" s="3"/>
      <c r="AK220" s="8"/>
      <c r="AL220" s="2" t="str">
        <f t="shared" si="3"/>
        <v/>
      </c>
      <c r="AM220" s="2" t="s">
        <v>2157</v>
      </c>
      <c r="AN220" s="2" t="s">
        <v>2158</v>
      </c>
      <c r="AO220" s="2" t="s">
        <v>2159</v>
      </c>
      <c r="AP220" s="2"/>
    </row>
    <row r="221" spans="1:42" ht="50" x14ac:dyDescent="0.35">
      <c r="A221" s="2">
        <v>220</v>
      </c>
      <c r="B221" s="2" t="s">
        <v>42</v>
      </c>
      <c r="C221" s="2">
        <v>1.3</v>
      </c>
      <c r="D221" s="3" t="s">
        <v>43</v>
      </c>
      <c r="E221" s="3" t="s">
        <v>44</v>
      </c>
      <c r="F221" s="3" t="s">
        <v>679</v>
      </c>
      <c r="G221" s="2" t="s">
        <v>393</v>
      </c>
      <c r="H221" s="2" t="s">
        <v>2160</v>
      </c>
      <c r="I221" s="2" t="s">
        <v>2160</v>
      </c>
      <c r="J221" s="2" t="s">
        <v>2161</v>
      </c>
      <c r="K221" s="2"/>
      <c r="L221" s="3"/>
      <c r="M221" s="3"/>
      <c r="N221" s="2" t="s">
        <v>2162</v>
      </c>
      <c r="O221" s="2" t="s">
        <v>2163</v>
      </c>
      <c r="P221" s="2"/>
      <c r="Q221" s="2"/>
      <c r="R221" s="4" t="s">
        <v>2164</v>
      </c>
      <c r="S221" s="4" t="s">
        <v>2165</v>
      </c>
      <c r="T221" s="4" t="s">
        <v>2166</v>
      </c>
      <c r="U221" s="2">
        <v>4.8</v>
      </c>
      <c r="V221" s="2">
        <v>9</v>
      </c>
      <c r="W221" s="2"/>
      <c r="X221" s="5"/>
      <c r="Y221" s="2" t="s">
        <v>66</v>
      </c>
      <c r="Z221" s="5" t="s">
        <v>2167</v>
      </c>
      <c r="AA221" s="2">
        <v>319</v>
      </c>
      <c r="AB221" s="2"/>
      <c r="AC221" s="5"/>
      <c r="AD221" s="5" t="s">
        <v>2168</v>
      </c>
      <c r="AE221" s="3"/>
      <c r="AF221" s="6"/>
      <c r="AG221" s="7"/>
      <c r="AH221" s="2">
        <v>0</v>
      </c>
      <c r="AI221" s="7"/>
      <c r="AJ221" s="3"/>
      <c r="AK221" s="8"/>
      <c r="AL221" s="2" t="str">
        <f t="shared" si="3"/>
        <v>Abrir WhatsApp</v>
      </c>
      <c r="AM221" s="2" t="s">
        <v>2169</v>
      </c>
      <c r="AN221" s="2" t="s">
        <v>2170</v>
      </c>
      <c r="AO221" s="2" t="s">
        <v>2171</v>
      </c>
      <c r="AP221" s="2"/>
    </row>
    <row r="222" spans="1:42" ht="37.5" x14ac:dyDescent="0.35">
      <c r="A222" s="2">
        <v>221</v>
      </c>
      <c r="B222" s="2" t="s">
        <v>42</v>
      </c>
      <c r="C222" s="2">
        <v>1.3</v>
      </c>
      <c r="D222" s="3" t="s">
        <v>43</v>
      </c>
      <c r="E222" s="3" t="s">
        <v>44</v>
      </c>
      <c r="F222" s="3" t="s">
        <v>679</v>
      </c>
      <c r="G222" s="2" t="s">
        <v>1159</v>
      </c>
      <c r="H222" s="2" t="s">
        <v>1159</v>
      </c>
      <c r="I222" s="2" t="s">
        <v>1159</v>
      </c>
      <c r="J222" s="2" t="s">
        <v>2172</v>
      </c>
      <c r="K222" s="2"/>
      <c r="L222" s="3"/>
      <c r="M222" s="3"/>
      <c r="N222" s="2"/>
      <c r="O222" s="2" t="s">
        <v>2173</v>
      </c>
      <c r="P222" s="2"/>
      <c r="Q222" s="2" t="s">
        <v>2174</v>
      </c>
      <c r="R222" s="4" t="s">
        <v>2175</v>
      </c>
      <c r="S222" s="4" t="s">
        <v>2176</v>
      </c>
      <c r="T222" s="4" t="s">
        <v>2177</v>
      </c>
      <c r="U222" s="2">
        <v>4.7</v>
      </c>
      <c r="V222" s="2">
        <v>16</v>
      </c>
      <c r="W222" s="2"/>
      <c r="X222" s="5" t="s">
        <v>2178</v>
      </c>
      <c r="Y222" s="2" t="s">
        <v>66</v>
      </c>
      <c r="Z222" s="5" t="s">
        <v>2179</v>
      </c>
      <c r="AA222" s="2">
        <v>337</v>
      </c>
      <c r="AB222" s="2" t="s">
        <v>2180</v>
      </c>
      <c r="AC222" s="5"/>
      <c r="AD222" s="5" t="s">
        <v>2181</v>
      </c>
      <c r="AE222" s="3"/>
      <c r="AF222" s="6"/>
      <c r="AG222" s="7"/>
      <c r="AH222" s="2">
        <v>0</v>
      </c>
      <c r="AI222" s="7"/>
      <c r="AJ222" s="3"/>
      <c r="AK222" s="8"/>
      <c r="AL222" s="2" t="str">
        <f t="shared" si="3"/>
        <v>Abrir WhatsApp</v>
      </c>
      <c r="AM222" s="2" t="s">
        <v>2182</v>
      </c>
      <c r="AN222" s="2" t="s">
        <v>2183</v>
      </c>
      <c r="AO222" s="2" t="s">
        <v>2184</v>
      </c>
      <c r="AP222" s="2"/>
    </row>
    <row r="223" spans="1:42" ht="37.5" x14ac:dyDescent="0.35">
      <c r="A223" s="2">
        <v>222</v>
      </c>
      <c r="B223" s="2" t="s">
        <v>42</v>
      </c>
      <c r="C223" s="2">
        <v>1.3</v>
      </c>
      <c r="D223" s="3" t="s">
        <v>43</v>
      </c>
      <c r="E223" s="3" t="s">
        <v>44</v>
      </c>
      <c r="F223" s="3" t="s">
        <v>679</v>
      </c>
      <c r="G223" s="2" t="s">
        <v>1159</v>
      </c>
      <c r="H223" s="2" t="s">
        <v>1159</v>
      </c>
      <c r="I223" s="2" t="s">
        <v>1159</v>
      </c>
      <c r="J223" s="2" t="s">
        <v>2185</v>
      </c>
      <c r="K223" s="2"/>
      <c r="L223" s="3"/>
      <c r="M223" s="3"/>
      <c r="N223" s="2" t="s">
        <v>2186</v>
      </c>
      <c r="O223" s="2"/>
      <c r="P223" s="2"/>
      <c r="Q223" s="2"/>
      <c r="R223" s="2"/>
      <c r="S223" s="4" t="s">
        <v>2187</v>
      </c>
      <c r="T223" s="2"/>
      <c r="U223" s="2">
        <v>4.8</v>
      </c>
      <c r="V223" s="2">
        <v>13</v>
      </c>
      <c r="W223" s="2"/>
      <c r="X223" s="5"/>
      <c r="Y223" s="2" t="s">
        <v>66</v>
      </c>
      <c r="Z223" s="5" t="s">
        <v>1360</v>
      </c>
      <c r="AA223" s="2">
        <v>326</v>
      </c>
      <c r="AB223" s="2"/>
      <c r="AC223" s="5"/>
      <c r="AD223" s="5" t="s">
        <v>2188</v>
      </c>
      <c r="AE223" s="3"/>
      <c r="AF223" s="6"/>
      <c r="AG223" s="7"/>
      <c r="AH223" s="2">
        <v>0</v>
      </c>
      <c r="AI223" s="7"/>
      <c r="AJ223" s="3"/>
      <c r="AK223" s="8"/>
      <c r="AL223" s="2" t="str">
        <f t="shared" si="3"/>
        <v/>
      </c>
      <c r="AM223" s="2"/>
      <c r="AN223" s="2" t="s">
        <v>2189</v>
      </c>
      <c r="AO223" s="2" t="s">
        <v>2190</v>
      </c>
      <c r="AP223" s="2"/>
    </row>
    <row r="224" spans="1:42" ht="50" x14ac:dyDescent="0.35">
      <c r="A224" s="2">
        <v>223</v>
      </c>
      <c r="B224" s="2" t="s">
        <v>42</v>
      </c>
      <c r="C224" s="2">
        <v>1.2</v>
      </c>
      <c r="D224" s="3" t="s">
        <v>43</v>
      </c>
      <c r="E224" s="3" t="s">
        <v>44</v>
      </c>
      <c r="F224" s="3" t="s">
        <v>679</v>
      </c>
      <c r="G224" s="2" t="s">
        <v>393</v>
      </c>
      <c r="H224" s="2" t="s">
        <v>393</v>
      </c>
      <c r="I224" s="2" t="s">
        <v>2191</v>
      </c>
      <c r="J224" s="2" t="s">
        <v>2192</v>
      </c>
      <c r="K224" s="2"/>
      <c r="L224" s="3"/>
      <c r="M224" s="3"/>
      <c r="N224" s="2" t="s">
        <v>2193</v>
      </c>
      <c r="O224" s="2"/>
      <c r="P224" s="2"/>
      <c r="Q224" s="2" t="s">
        <v>2194</v>
      </c>
      <c r="R224" s="2"/>
      <c r="S224" s="2"/>
      <c r="T224" s="2"/>
      <c r="U224" s="2"/>
      <c r="V224" s="2"/>
      <c r="W224" s="2"/>
      <c r="X224" s="5"/>
      <c r="Y224" s="2"/>
      <c r="Z224" s="5"/>
      <c r="AA224" s="2">
        <v>309</v>
      </c>
      <c r="AB224" s="2"/>
      <c r="AC224" s="5"/>
      <c r="AD224" s="5" t="s">
        <v>2195</v>
      </c>
      <c r="AE224" s="3"/>
      <c r="AF224" s="6"/>
      <c r="AG224" s="7"/>
      <c r="AH224" s="2">
        <v>0</v>
      </c>
      <c r="AI224" s="7"/>
      <c r="AJ224" s="3"/>
      <c r="AK224" s="8"/>
      <c r="AL224" s="2" t="str">
        <f t="shared" si="3"/>
        <v/>
      </c>
      <c r="AM224" s="2"/>
      <c r="AN224" s="2" t="s">
        <v>2196</v>
      </c>
      <c r="AO224" s="2" t="s">
        <v>2197</v>
      </c>
      <c r="AP224" s="2"/>
    </row>
    <row r="225" spans="1:42" ht="37.5" x14ac:dyDescent="0.35">
      <c r="A225" s="2">
        <v>224</v>
      </c>
      <c r="B225" s="2" t="s">
        <v>2180</v>
      </c>
      <c r="C225" s="2">
        <v>3.6</v>
      </c>
      <c r="D225" s="3" t="s">
        <v>43</v>
      </c>
      <c r="E225" s="3" t="s">
        <v>44</v>
      </c>
      <c r="F225" s="3" t="s">
        <v>679</v>
      </c>
      <c r="G225" s="2" t="s">
        <v>46</v>
      </c>
      <c r="H225" s="2" t="s">
        <v>1728</v>
      </c>
      <c r="I225" s="2" t="s">
        <v>1728</v>
      </c>
      <c r="J225" s="2" t="s">
        <v>2198</v>
      </c>
      <c r="K225" s="2"/>
      <c r="L225" s="3"/>
      <c r="M225" s="3"/>
      <c r="N225" s="2" t="s">
        <v>2199</v>
      </c>
      <c r="O225" s="2"/>
      <c r="P225" s="2"/>
      <c r="Q225" s="2"/>
      <c r="R225" s="2"/>
      <c r="S225" s="2"/>
      <c r="T225" s="2"/>
      <c r="U225" s="2">
        <v>3</v>
      </c>
      <c r="V225" s="2">
        <v>2</v>
      </c>
      <c r="W225" s="2"/>
      <c r="X225" s="5"/>
      <c r="Y225" s="2" t="s">
        <v>66</v>
      </c>
      <c r="Z225" s="5" t="s">
        <v>2200</v>
      </c>
      <c r="AA225" s="2">
        <v>151</v>
      </c>
      <c r="AB225" s="2"/>
      <c r="AC225" s="5"/>
      <c r="AD225" s="5" t="s">
        <v>2201</v>
      </c>
      <c r="AE225" s="3"/>
      <c r="AF225" s="6"/>
      <c r="AG225" s="7"/>
      <c r="AH225" s="2">
        <v>0</v>
      </c>
      <c r="AI225" s="7"/>
      <c r="AJ225" s="3"/>
      <c r="AK225" s="8"/>
      <c r="AL225" s="2" t="str">
        <f t="shared" si="3"/>
        <v/>
      </c>
      <c r="AM225" s="2"/>
      <c r="AN225" s="2" t="s">
        <v>2202</v>
      </c>
      <c r="AO225" s="2" t="s">
        <v>2203</v>
      </c>
      <c r="AP225" s="2"/>
    </row>
    <row r="226" spans="1:42" ht="50" x14ac:dyDescent="0.35">
      <c r="A226" s="2">
        <v>225</v>
      </c>
      <c r="B226" s="2" t="s">
        <v>2180</v>
      </c>
      <c r="C226" s="2">
        <v>3.3</v>
      </c>
      <c r="D226" s="3" t="s">
        <v>43</v>
      </c>
      <c r="E226" s="3" t="s">
        <v>44</v>
      </c>
      <c r="F226" s="3" t="s">
        <v>679</v>
      </c>
      <c r="G226" s="2" t="s">
        <v>46</v>
      </c>
      <c r="H226" s="2" t="s">
        <v>46</v>
      </c>
      <c r="I226" s="2" t="s">
        <v>2204</v>
      </c>
      <c r="J226" s="2" t="s">
        <v>2205</v>
      </c>
      <c r="K226" s="2"/>
      <c r="L226" s="3"/>
      <c r="M226" s="3"/>
      <c r="N226" s="2" t="s">
        <v>2206</v>
      </c>
      <c r="O226" s="2" t="s">
        <v>2207</v>
      </c>
      <c r="P226" s="2"/>
      <c r="Q226" s="2" t="s">
        <v>2208</v>
      </c>
      <c r="R226" s="4" t="s">
        <v>2209</v>
      </c>
      <c r="S226" s="4" t="s">
        <v>2210</v>
      </c>
      <c r="T226" s="2"/>
      <c r="U226" s="2">
        <v>4.3</v>
      </c>
      <c r="V226" s="2">
        <v>9</v>
      </c>
      <c r="W226" s="2"/>
      <c r="X226" s="5" t="s">
        <v>319</v>
      </c>
      <c r="Y226" s="2" t="s">
        <v>66</v>
      </c>
      <c r="Z226" s="5" t="s">
        <v>2211</v>
      </c>
      <c r="AA226" s="2">
        <v>207</v>
      </c>
      <c r="AB226" s="2" t="s">
        <v>2212</v>
      </c>
      <c r="AC226" s="5" t="s">
        <v>2213</v>
      </c>
      <c r="AD226" s="5" t="s">
        <v>2214</v>
      </c>
      <c r="AE226" s="3"/>
      <c r="AF226" s="6"/>
      <c r="AG226" s="7"/>
      <c r="AH226" s="2">
        <v>0</v>
      </c>
      <c r="AI226" s="7"/>
      <c r="AJ226" s="3"/>
      <c r="AK226" s="8"/>
      <c r="AL226" s="2" t="str">
        <f t="shared" si="3"/>
        <v>Abrir WhatsApp</v>
      </c>
      <c r="AM226" s="2" t="s">
        <v>2215</v>
      </c>
      <c r="AN226" s="2" t="s">
        <v>2216</v>
      </c>
      <c r="AO226" s="2" t="s">
        <v>2217</v>
      </c>
      <c r="AP226" s="2"/>
    </row>
    <row r="227" spans="1:42" ht="87.5" x14ac:dyDescent="0.35">
      <c r="A227" s="2">
        <v>226</v>
      </c>
      <c r="B227" s="2" t="s">
        <v>2180</v>
      </c>
      <c r="C227" s="2">
        <v>3.3</v>
      </c>
      <c r="D227" s="3" t="s">
        <v>43</v>
      </c>
      <c r="E227" s="3" t="s">
        <v>44</v>
      </c>
      <c r="F227" s="3" t="s">
        <v>679</v>
      </c>
      <c r="G227" s="2" t="s">
        <v>46</v>
      </c>
      <c r="H227" s="2" t="s">
        <v>46</v>
      </c>
      <c r="I227" s="2" t="s">
        <v>46</v>
      </c>
      <c r="J227" s="2" t="s">
        <v>2218</v>
      </c>
      <c r="K227" s="2"/>
      <c r="L227" s="3"/>
      <c r="M227" s="3"/>
      <c r="N227" s="2"/>
      <c r="O227" s="2" t="s">
        <v>2219</v>
      </c>
      <c r="P227" s="2"/>
      <c r="Q227" s="2"/>
      <c r="R227" s="2"/>
      <c r="S227" s="4" t="s">
        <v>2220</v>
      </c>
      <c r="T227" s="2"/>
      <c r="U227" s="2">
        <v>4.8</v>
      </c>
      <c r="V227" s="2">
        <v>36</v>
      </c>
      <c r="W227" s="2"/>
      <c r="X227" s="5" t="s">
        <v>319</v>
      </c>
      <c r="Y227" s="2" t="s">
        <v>66</v>
      </c>
      <c r="Z227" s="5" t="s">
        <v>470</v>
      </c>
      <c r="AA227" s="2">
        <v>211</v>
      </c>
      <c r="AB227" s="2"/>
      <c r="AC227" s="5" t="s">
        <v>2221</v>
      </c>
      <c r="AD227" s="5" t="s">
        <v>2222</v>
      </c>
      <c r="AE227" s="3"/>
      <c r="AF227" s="6"/>
      <c r="AG227" s="7"/>
      <c r="AH227" s="2">
        <v>0</v>
      </c>
      <c r="AI227" s="7"/>
      <c r="AJ227" s="3"/>
      <c r="AK227" s="8"/>
      <c r="AL227" s="2" t="str">
        <f t="shared" si="3"/>
        <v>Abrir WhatsApp</v>
      </c>
      <c r="AM227" s="2"/>
      <c r="AN227" s="2" t="s">
        <v>2223</v>
      </c>
      <c r="AO227" s="2" t="s">
        <v>2224</v>
      </c>
      <c r="AP227" s="2"/>
    </row>
    <row r="228" spans="1:42" ht="25" x14ac:dyDescent="0.35">
      <c r="A228" s="2">
        <v>227</v>
      </c>
      <c r="B228" s="2" t="s">
        <v>2180</v>
      </c>
      <c r="C228" s="2">
        <v>3.2</v>
      </c>
      <c r="D228" s="3" t="s">
        <v>43</v>
      </c>
      <c r="E228" s="3" t="s">
        <v>44</v>
      </c>
      <c r="F228" s="3" t="s">
        <v>679</v>
      </c>
      <c r="G228" s="2" t="s">
        <v>46</v>
      </c>
      <c r="H228" s="2" t="s">
        <v>323</v>
      </c>
      <c r="I228" s="2" t="s">
        <v>323</v>
      </c>
      <c r="J228" s="2" t="s">
        <v>2225</v>
      </c>
      <c r="K228" s="2"/>
      <c r="L228" s="3"/>
      <c r="M228" s="3"/>
      <c r="N228" s="2" t="s">
        <v>2226</v>
      </c>
      <c r="O228" s="2"/>
      <c r="P228" s="2"/>
      <c r="Q228" s="2"/>
      <c r="R228" s="2"/>
      <c r="S228" s="2"/>
      <c r="T228" s="2"/>
      <c r="U228" s="2"/>
      <c r="V228" s="2"/>
      <c r="W228" s="2"/>
      <c r="X228" s="5"/>
      <c r="Y228" s="2"/>
      <c r="Z228" s="5"/>
      <c r="AA228" s="2">
        <v>298</v>
      </c>
      <c r="AB228" s="2"/>
      <c r="AC228" s="5"/>
      <c r="AD228" s="5" t="s">
        <v>2227</v>
      </c>
      <c r="AE228" s="3"/>
      <c r="AF228" s="6"/>
      <c r="AG228" s="7"/>
      <c r="AH228" s="2">
        <v>0</v>
      </c>
      <c r="AI228" s="7"/>
      <c r="AJ228" s="3"/>
      <c r="AK228" s="8"/>
      <c r="AL228" s="2" t="str">
        <f t="shared" si="3"/>
        <v/>
      </c>
      <c r="AM228" s="2"/>
      <c r="AN228" s="2" t="s">
        <v>2228</v>
      </c>
      <c r="AO228" s="2" t="s">
        <v>2229</v>
      </c>
      <c r="AP228" s="2"/>
    </row>
    <row r="229" spans="1:42" ht="25" x14ac:dyDescent="0.35">
      <c r="A229" s="2">
        <v>228</v>
      </c>
      <c r="B229" s="2" t="s">
        <v>2180</v>
      </c>
      <c r="C229" s="2">
        <v>3.1</v>
      </c>
      <c r="D229" s="3" t="s">
        <v>43</v>
      </c>
      <c r="E229" s="3" t="s">
        <v>44</v>
      </c>
      <c r="F229" s="3" t="s">
        <v>679</v>
      </c>
      <c r="G229" s="2" t="s">
        <v>46</v>
      </c>
      <c r="H229" s="2" t="s">
        <v>2230</v>
      </c>
      <c r="I229" s="2" t="s">
        <v>2230</v>
      </c>
      <c r="J229" s="2" t="s">
        <v>2231</v>
      </c>
      <c r="K229" s="2"/>
      <c r="L229" s="3"/>
      <c r="M229" s="3"/>
      <c r="N229" s="2" t="s">
        <v>2232</v>
      </c>
      <c r="O229" s="2"/>
      <c r="P229" s="2"/>
      <c r="Q229" s="2" t="s">
        <v>2233</v>
      </c>
      <c r="R229" s="2"/>
      <c r="S229" s="2"/>
      <c r="T229" s="2"/>
      <c r="U229" s="2">
        <v>4</v>
      </c>
      <c r="V229" s="2">
        <v>4</v>
      </c>
      <c r="W229" s="2"/>
      <c r="X229" s="5"/>
      <c r="Y229" s="2"/>
      <c r="Z229" s="5"/>
      <c r="AA229" s="2">
        <v>281</v>
      </c>
      <c r="AB229" s="2"/>
      <c r="AC229" s="5"/>
      <c r="AD229" s="5" t="s">
        <v>2234</v>
      </c>
      <c r="AE229" s="3"/>
      <c r="AF229" s="6"/>
      <c r="AG229" s="7"/>
      <c r="AH229" s="2">
        <v>0</v>
      </c>
      <c r="AI229" s="7"/>
      <c r="AJ229" s="3"/>
      <c r="AK229" s="8"/>
      <c r="AL229" s="2" t="str">
        <f t="shared" si="3"/>
        <v/>
      </c>
      <c r="AM229" s="2"/>
      <c r="AN229" s="2" t="s">
        <v>2235</v>
      </c>
      <c r="AO229" s="2" t="s">
        <v>2236</v>
      </c>
      <c r="AP229" s="2"/>
    </row>
    <row r="230" spans="1:42" ht="50" x14ac:dyDescent="0.35">
      <c r="A230" s="2">
        <v>229</v>
      </c>
      <c r="B230" s="2" t="s">
        <v>2180</v>
      </c>
      <c r="C230" s="2">
        <v>3.1</v>
      </c>
      <c r="D230" s="3" t="s">
        <v>43</v>
      </c>
      <c r="E230" s="3" t="s">
        <v>44</v>
      </c>
      <c r="F230" s="3" t="s">
        <v>679</v>
      </c>
      <c r="G230" s="2" t="s">
        <v>74</v>
      </c>
      <c r="H230" s="2" t="s">
        <v>591</v>
      </c>
      <c r="I230" s="2" t="s">
        <v>591</v>
      </c>
      <c r="J230" s="2" t="s">
        <v>2237</v>
      </c>
      <c r="K230" s="2"/>
      <c r="L230" s="3"/>
      <c r="M230" s="3"/>
      <c r="N230" s="2" t="s">
        <v>2238</v>
      </c>
      <c r="O230" s="2" t="s">
        <v>2239</v>
      </c>
      <c r="P230" s="2"/>
      <c r="Q230" s="2"/>
      <c r="R230" s="2"/>
      <c r="S230" s="4" t="s">
        <v>2240</v>
      </c>
      <c r="T230" s="2"/>
      <c r="U230" s="2">
        <v>4.7</v>
      </c>
      <c r="V230" s="2">
        <v>6</v>
      </c>
      <c r="W230" s="2"/>
      <c r="X230" s="5" t="s">
        <v>224</v>
      </c>
      <c r="Y230" s="2" t="s">
        <v>66</v>
      </c>
      <c r="Z230" s="5" t="s">
        <v>2241</v>
      </c>
      <c r="AA230" s="2">
        <v>275</v>
      </c>
      <c r="AB230" s="2"/>
      <c r="AC230" s="5"/>
      <c r="AD230" s="5" t="s">
        <v>2242</v>
      </c>
      <c r="AE230" s="3"/>
      <c r="AF230" s="6"/>
      <c r="AG230" s="7"/>
      <c r="AH230" s="2">
        <v>0</v>
      </c>
      <c r="AI230" s="7"/>
      <c r="AJ230" s="3"/>
      <c r="AK230" s="8"/>
      <c r="AL230" s="2" t="str">
        <f t="shared" si="3"/>
        <v>Abrir WhatsApp</v>
      </c>
      <c r="AM230" s="2"/>
      <c r="AN230" s="2" t="s">
        <v>2243</v>
      </c>
      <c r="AO230" s="2" t="s">
        <v>2244</v>
      </c>
      <c r="AP230" s="2"/>
    </row>
    <row r="231" spans="1:42" ht="50" x14ac:dyDescent="0.35">
      <c r="A231" s="2">
        <v>230</v>
      </c>
      <c r="B231" s="2" t="s">
        <v>2180</v>
      </c>
      <c r="C231" s="2">
        <v>3</v>
      </c>
      <c r="D231" s="3" t="s">
        <v>43</v>
      </c>
      <c r="E231" s="3" t="s">
        <v>44</v>
      </c>
      <c r="F231" s="3" t="s">
        <v>679</v>
      </c>
      <c r="G231" s="2" t="s">
        <v>46</v>
      </c>
      <c r="H231" s="2" t="s">
        <v>47</v>
      </c>
      <c r="I231" s="2" t="s">
        <v>47</v>
      </c>
      <c r="J231" s="2" t="s">
        <v>2245</v>
      </c>
      <c r="K231" s="2"/>
      <c r="L231" s="3"/>
      <c r="M231" s="3"/>
      <c r="N231" s="2" t="s">
        <v>2246</v>
      </c>
      <c r="O231" s="2"/>
      <c r="P231" s="2"/>
      <c r="Q231" s="2"/>
      <c r="R231" s="4" t="s">
        <v>2247</v>
      </c>
      <c r="S231" s="2"/>
      <c r="T231" s="2"/>
      <c r="U231" s="2">
        <v>4.3</v>
      </c>
      <c r="V231" s="2">
        <v>9</v>
      </c>
      <c r="W231" s="2"/>
      <c r="X231" s="5" t="s">
        <v>2248</v>
      </c>
      <c r="Y231" s="2" t="s">
        <v>66</v>
      </c>
      <c r="Z231" s="5" t="s">
        <v>2249</v>
      </c>
      <c r="AA231" s="2">
        <v>238</v>
      </c>
      <c r="AB231" s="2" t="s">
        <v>2250</v>
      </c>
      <c r="AC231" s="5"/>
      <c r="AD231" s="5" t="s">
        <v>2251</v>
      </c>
      <c r="AE231" s="3"/>
      <c r="AF231" s="6"/>
      <c r="AG231" s="7"/>
      <c r="AH231" s="2">
        <v>0</v>
      </c>
      <c r="AI231" s="7"/>
      <c r="AJ231" s="3"/>
      <c r="AK231" s="8"/>
      <c r="AL231" s="2" t="str">
        <f t="shared" si="3"/>
        <v/>
      </c>
      <c r="AM231" s="2" t="s">
        <v>2252</v>
      </c>
      <c r="AN231" s="2" t="s">
        <v>2253</v>
      </c>
      <c r="AO231" s="2" t="s">
        <v>2254</v>
      </c>
      <c r="AP231" s="2"/>
    </row>
    <row r="232" spans="1:42" ht="25" x14ac:dyDescent="0.35">
      <c r="A232" s="2">
        <v>231</v>
      </c>
      <c r="B232" s="2" t="s">
        <v>2180</v>
      </c>
      <c r="C232" s="2">
        <v>3</v>
      </c>
      <c r="D232" s="3" t="s">
        <v>43</v>
      </c>
      <c r="E232" s="3" t="s">
        <v>44</v>
      </c>
      <c r="F232" s="3" t="s">
        <v>679</v>
      </c>
      <c r="G232" s="2" t="s">
        <v>46</v>
      </c>
      <c r="H232" s="2" t="s">
        <v>161</v>
      </c>
      <c r="I232" s="2" t="s">
        <v>2255</v>
      </c>
      <c r="J232" s="2" t="s">
        <v>2256</v>
      </c>
      <c r="K232" s="2"/>
      <c r="L232" s="3"/>
      <c r="M232" s="3"/>
      <c r="N232" s="2" t="s">
        <v>2257</v>
      </c>
      <c r="O232" s="2"/>
      <c r="P232" s="2"/>
      <c r="Q232" s="2"/>
      <c r="R232" s="2"/>
      <c r="S232" s="2"/>
      <c r="T232" s="2"/>
      <c r="U232" s="2"/>
      <c r="V232" s="2"/>
      <c r="W232" s="2"/>
      <c r="X232" s="5"/>
      <c r="Y232" s="2"/>
      <c r="Z232" s="5"/>
      <c r="AA232" s="2">
        <v>248</v>
      </c>
      <c r="AB232" s="2"/>
      <c r="AC232" s="5"/>
      <c r="AD232" s="5" t="s">
        <v>2258</v>
      </c>
      <c r="AE232" s="3"/>
      <c r="AF232" s="6"/>
      <c r="AG232" s="7"/>
      <c r="AH232" s="2">
        <v>0</v>
      </c>
      <c r="AI232" s="7"/>
      <c r="AJ232" s="3"/>
      <c r="AK232" s="8"/>
      <c r="AL232" s="2" t="str">
        <f t="shared" si="3"/>
        <v/>
      </c>
      <c r="AM232" s="2"/>
      <c r="AN232" s="2" t="s">
        <v>2259</v>
      </c>
      <c r="AO232" s="2" t="s">
        <v>2260</v>
      </c>
      <c r="AP232" s="2"/>
    </row>
    <row r="233" spans="1:42" ht="50" x14ac:dyDescent="0.35">
      <c r="A233" s="2">
        <v>232</v>
      </c>
      <c r="B233" s="2" t="s">
        <v>2180</v>
      </c>
      <c r="C233" s="2">
        <v>2.9</v>
      </c>
      <c r="D233" s="3" t="s">
        <v>43</v>
      </c>
      <c r="E233" s="3" t="s">
        <v>44</v>
      </c>
      <c r="F233" s="3" t="s">
        <v>679</v>
      </c>
      <c r="G233" s="2" t="s">
        <v>46</v>
      </c>
      <c r="H233" s="2" t="s">
        <v>284</v>
      </c>
      <c r="I233" s="2" t="s">
        <v>285</v>
      </c>
      <c r="J233" s="2" t="s">
        <v>2261</v>
      </c>
      <c r="K233" s="2"/>
      <c r="L233" s="3"/>
      <c r="M233" s="3"/>
      <c r="N233" s="2" t="s">
        <v>2262</v>
      </c>
      <c r="O233" s="2"/>
      <c r="P233" s="2"/>
      <c r="Q233" s="2"/>
      <c r="R233" s="2"/>
      <c r="S233" s="2"/>
      <c r="T233" s="2"/>
      <c r="U233" s="2">
        <v>5</v>
      </c>
      <c r="V233" s="2">
        <v>2</v>
      </c>
      <c r="W233" s="2"/>
      <c r="X233" s="5"/>
      <c r="Y233" s="2" t="s">
        <v>66</v>
      </c>
      <c r="Z233" s="5" t="s">
        <v>2263</v>
      </c>
      <c r="AA233" s="2">
        <v>215</v>
      </c>
      <c r="AB233" s="2"/>
      <c r="AC233" s="5"/>
      <c r="AD233" s="5" t="s">
        <v>2264</v>
      </c>
      <c r="AE233" s="3"/>
      <c r="AF233" s="6"/>
      <c r="AG233" s="7"/>
      <c r="AH233" s="2">
        <v>0</v>
      </c>
      <c r="AI233" s="7"/>
      <c r="AJ233" s="3"/>
      <c r="AK233" s="8"/>
      <c r="AL233" s="2" t="str">
        <f t="shared" si="3"/>
        <v/>
      </c>
      <c r="AM233" s="2"/>
      <c r="AN233" s="2" t="s">
        <v>2265</v>
      </c>
      <c r="AO233" s="2" t="s">
        <v>2266</v>
      </c>
      <c r="AP233" s="2"/>
    </row>
    <row r="234" spans="1:42" ht="25" x14ac:dyDescent="0.35">
      <c r="A234" s="2">
        <v>233</v>
      </c>
      <c r="B234" s="2" t="s">
        <v>2180</v>
      </c>
      <c r="C234" s="2">
        <v>2.9</v>
      </c>
      <c r="D234" s="3" t="s">
        <v>43</v>
      </c>
      <c r="E234" s="3" t="s">
        <v>44</v>
      </c>
      <c r="F234" s="3" t="s">
        <v>679</v>
      </c>
      <c r="G234" s="2" t="s">
        <v>46</v>
      </c>
      <c r="H234" s="2" t="s">
        <v>284</v>
      </c>
      <c r="I234" s="2" t="s">
        <v>284</v>
      </c>
      <c r="J234" s="2" t="s">
        <v>2267</v>
      </c>
      <c r="K234" s="2"/>
      <c r="L234" s="3"/>
      <c r="M234" s="3"/>
      <c r="N234" s="2"/>
      <c r="O234" s="2" t="s">
        <v>2268</v>
      </c>
      <c r="P234" s="2"/>
      <c r="Q234" s="2"/>
      <c r="R234" s="2"/>
      <c r="S234" s="2"/>
      <c r="T234" s="2"/>
      <c r="U234" s="2">
        <v>4.5</v>
      </c>
      <c r="V234" s="2">
        <v>2</v>
      </c>
      <c r="W234" s="2"/>
      <c r="X234" s="5"/>
      <c r="Y234" s="2" t="s">
        <v>66</v>
      </c>
      <c r="Z234" s="5" t="s">
        <v>2269</v>
      </c>
      <c r="AA234" s="2">
        <v>226</v>
      </c>
      <c r="AB234" s="2"/>
      <c r="AC234" s="5"/>
      <c r="AD234" s="5" t="s">
        <v>2270</v>
      </c>
      <c r="AE234" s="3"/>
      <c r="AF234" s="6"/>
      <c r="AG234" s="7"/>
      <c r="AH234" s="2">
        <v>0</v>
      </c>
      <c r="AI234" s="7"/>
      <c r="AJ234" s="3"/>
      <c r="AK234" s="8"/>
      <c r="AL234" s="2" t="str">
        <f t="shared" si="3"/>
        <v>Abrir WhatsApp</v>
      </c>
      <c r="AM234" s="2"/>
      <c r="AN234" s="2" t="s">
        <v>2271</v>
      </c>
      <c r="AO234" s="2" t="s">
        <v>2272</v>
      </c>
      <c r="AP234" s="2"/>
    </row>
    <row r="235" spans="1:42" ht="25" x14ac:dyDescent="0.35">
      <c r="A235" s="2">
        <v>234</v>
      </c>
      <c r="B235" s="2" t="s">
        <v>2180</v>
      </c>
      <c r="C235" s="2">
        <v>2.9</v>
      </c>
      <c r="D235" s="3" t="s">
        <v>43</v>
      </c>
      <c r="E235" s="3" t="s">
        <v>44</v>
      </c>
      <c r="F235" s="3" t="s">
        <v>679</v>
      </c>
      <c r="G235" s="2" t="s">
        <v>46</v>
      </c>
      <c r="H235" s="2" t="s">
        <v>47</v>
      </c>
      <c r="I235" s="2" t="s">
        <v>2273</v>
      </c>
      <c r="J235" s="2" t="s">
        <v>2274</v>
      </c>
      <c r="K235" s="2"/>
      <c r="L235" s="3"/>
      <c r="M235" s="3"/>
      <c r="N235" s="2" t="s">
        <v>2275</v>
      </c>
      <c r="O235" s="2"/>
      <c r="P235" s="2"/>
      <c r="Q235" s="2"/>
      <c r="R235" s="2"/>
      <c r="S235" s="4" t="s">
        <v>2276</v>
      </c>
      <c r="T235" s="2"/>
      <c r="U235" s="2">
        <v>4.8</v>
      </c>
      <c r="V235" s="2">
        <v>4</v>
      </c>
      <c r="W235" s="2"/>
      <c r="X235" s="5"/>
      <c r="Y235" s="2"/>
      <c r="Z235" s="5"/>
      <c r="AA235" s="2">
        <v>231</v>
      </c>
      <c r="AB235" s="2"/>
      <c r="AC235" s="5"/>
      <c r="AD235" s="5" t="s">
        <v>2277</v>
      </c>
      <c r="AE235" s="3"/>
      <c r="AF235" s="6"/>
      <c r="AG235" s="7"/>
      <c r="AH235" s="2">
        <v>0</v>
      </c>
      <c r="AI235" s="7"/>
      <c r="AJ235" s="3"/>
      <c r="AK235" s="8"/>
      <c r="AL235" s="2" t="str">
        <f t="shared" si="3"/>
        <v/>
      </c>
      <c r="AM235" s="2"/>
      <c r="AN235" s="2" t="s">
        <v>2278</v>
      </c>
      <c r="AO235" s="2" t="s">
        <v>2279</v>
      </c>
      <c r="AP235" s="2"/>
    </row>
    <row r="236" spans="1:42" ht="50" x14ac:dyDescent="0.35">
      <c r="A236" s="2">
        <v>235</v>
      </c>
      <c r="B236" s="2" t="s">
        <v>2180</v>
      </c>
      <c r="C236" s="2">
        <v>2.9</v>
      </c>
      <c r="D236" s="3" t="s">
        <v>43</v>
      </c>
      <c r="E236" s="3" t="s">
        <v>44</v>
      </c>
      <c r="F236" s="3" t="s">
        <v>679</v>
      </c>
      <c r="G236" s="2" t="s">
        <v>46</v>
      </c>
      <c r="H236" s="2" t="s">
        <v>1377</v>
      </c>
      <c r="I236" s="2" t="s">
        <v>1377</v>
      </c>
      <c r="J236" s="2" t="s">
        <v>2280</v>
      </c>
      <c r="K236" s="2"/>
      <c r="L236" s="3"/>
      <c r="M236" s="3"/>
      <c r="N236" s="2" t="s">
        <v>2281</v>
      </c>
      <c r="O236" s="2" t="s">
        <v>2282</v>
      </c>
      <c r="P236" s="2"/>
      <c r="Q236" s="2" t="s">
        <v>2283</v>
      </c>
      <c r="R236" s="2"/>
      <c r="S236" s="2"/>
      <c r="T236" s="2"/>
      <c r="U236" s="2"/>
      <c r="V236" s="2"/>
      <c r="W236" s="2"/>
      <c r="X236" s="5"/>
      <c r="Y236" s="2"/>
      <c r="Z236" s="5"/>
      <c r="AA236" s="2">
        <v>216</v>
      </c>
      <c r="AB236" s="2"/>
      <c r="AC236" s="5"/>
      <c r="AD236" s="5" t="s">
        <v>2284</v>
      </c>
      <c r="AE236" s="3"/>
      <c r="AF236" s="6"/>
      <c r="AG236" s="7"/>
      <c r="AH236" s="2">
        <v>0</v>
      </c>
      <c r="AI236" s="7"/>
      <c r="AJ236" s="3"/>
      <c r="AK236" s="8"/>
      <c r="AL236" s="2" t="str">
        <f t="shared" si="3"/>
        <v>Abrir WhatsApp</v>
      </c>
      <c r="AM236" s="2"/>
      <c r="AN236" s="2" t="s">
        <v>2285</v>
      </c>
      <c r="AO236" s="2" t="s">
        <v>2286</v>
      </c>
      <c r="AP236" s="2"/>
    </row>
    <row r="237" spans="1:42" ht="37.5" x14ac:dyDescent="0.35">
      <c r="A237" s="2">
        <v>236</v>
      </c>
      <c r="B237" s="2" t="s">
        <v>2180</v>
      </c>
      <c r="C237" s="2">
        <v>2.8</v>
      </c>
      <c r="D237" s="3" t="s">
        <v>43</v>
      </c>
      <c r="E237" s="3" t="s">
        <v>44</v>
      </c>
      <c r="F237" s="3" t="s">
        <v>679</v>
      </c>
      <c r="G237" s="2" t="s">
        <v>46</v>
      </c>
      <c r="H237" s="2" t="s">
        <v>1377</v>
      </c>
      <c r="I237" s="2" t="s">
        <v>2287</v>
      </c>
      <c r="J237" s="2" t="s">
        <v>2288</v>
      </c>
      <c r="K237" s="2"/>
      <c r="L237" s="3"/>
      <c r="M237" s="3"/>
      <c r="N237" s="2" t="s">
        <v>2289</v>
      </c>
      <c r="O237" s="2"/>
      <c r="P237" s="2"/>
      <c r="Q237" s="2"/>
      <c r="R237" s="2"/>
      <c r="S237" s="4" t="s">
        <v>2290</v>
      </c>
      <c r="T237" s="2"/>
      <c r="U237" s="2">
        <v>5</v>
      </c>
      <c r="V237" s="2">
        <v>3</v>
      </c>
      <c r="W237" s="2"/>
      <c r="X237" s="5"/>
      <c r="Y237" s="2" t="s">
        <v>66</v>
      </c>
      <c r="Z237" s="5" t="s">
        <v>2291</v>
      </c>
      <c r="AA237" s="2">
        <v>197</v>
      </c>
      <c r="AB237" s="2"/>
      <c r="AC237" s="5"/>
      <c r="AD237" s="5" t="s">
        <v>2292</v>
      </c>
      <c r="AE237" s="3"/>
      <c r="AF237" s="6"/>
      <c r="AG237" s="7"/>
      <c r="AH237" s="2">
        <v>0</v>
      </c>
      <c r="AI237" s="7"/>
      <c r="AJ237" s="3"/>
      <c r="AK237" s="8"/>
      <c r="AL237" s="2" t="str">
        <f t="shared" si="3"/>
        <v/>
      </c>
      <c r="AM237" s="2"/>
      <c r="AN237" s="2" t="s">
        <v>2293</v>
      </c>
      <c r="AO237" s="2" t="s">
        <v>2294</v>
      </c>
      <c r="AP237" s="2"/>
    </row>
    <row r="238" spans="1:42" ht="25" x14ac:dyDescent="0.35">
      <c r="A238" s="2">
        <v>237</v>
      </c>
      <c r="B238" s="2" t="s">
        <v>2180</v>
      </c>
      <c r="C238" s="2">
        <v>2.8</v>
      </c>
      <c r="D238" s="3" t="s">
        <v>43</v>
      </c>
      <c r="E238" s="3" t="s">
        <v>44</v>
      </c>
      <c r="F238" s="3" t="s">
        <v>679</v>
      </c>
      <c r="G238" s="2" t="s">
        <v>46</v>
      </c>
      <c r="H238" s="2" t="s">
        <v>2295</v>
      </c>
      <c r="I238" s="2" t="s">
        <v>2295</v>
      </c>
      <c r="J238" s="2" t="s">
        <v>2296</v>
      </c>
      <c r="K238" s="2"/>
      <c r="L238" s="3"/>
      <c r="M238" s="3"/>
      <c r="N238" s="2" t="s">
        <v>2297</v>
      </c>
      <c r="O238" s="2"/>
      <c r="P238" s="2"/>
      <c r="Q238" s="2"/>
      <c r="R238" s="2"/>
      <c r="S238" s="2"/>
      <c r="T238" s="2"/>
      <c r="U238" s="2">
        <v>4.3</v>
      </c>
      <c r="V238" s="2">
        <v>7</v>
      </c>
      <c r="W238" s="2"/>
      <c r="X238" s="5"/>
      <c r="Y238" s="2"/>
      <c r="Z238" s="5"/>
      <c r="AA238" s="2">
        <v>189</v>
      </c>
      <c r="AB238" s="2"/>
      <c r="AC238" s="5"/>
      <c r="AD238" s="5" t="s">
        <v>2298</v>
      </c>
      <c r="AE238" s="3"/>
      <c r="AF238" s="6"/>
      <c r="AG238" s="7"/>
      <c r="AH238" s="2">
        <v>0</v>
      </c>
      <c r="AI238" s="7"/>
      <c r="AJ238" s="3"/>
      <c r="AK238" s="8"/>
      <c r="AL238" s="2" t="str">
        <f t="shared" si="3"/>
        <v/>
      </c>
      <c r="AM238" s="2"/>
      <c r="AN238" s="2" t="s">
        <v>2299</v>
      </c>
      <c r="AO238" s="2" t="s">
        <v>2300</v>
      </c>
      <c r="AP238" s="2"/>
    </row>
    <row r="239" spans="1:42" ht="37.5" x14ac:dyDescent="0.35">
      <c r="A239" s="2">
        <v>238</v>
      </c>
      <c r="B239" s="2" t="s">
        <v>2180</v>
      </c>
      <c r="C239" s="2">
        <v>2.8</v>
      </c>
      <c r="D239" s="3" t="s">
        <v>43</v>
      </c>
      <c r="E239" s="3" t="s">
        <v>44</v>
      </c>
      <c r="F239" s="3" t="s">
        <v>679</v>
      </c>
      <c r="G239" s="2" t="s">
        <v>46</v>
      </c>
      <c r="H239" s="2" t="s">
        <v>1728</v>
      </c>
      <c r="I239" s="2" t="s">
        <v>2301</v>
      </c>
      <c r="J239" s="2" t="s">
        <v>2302</v>
      </c>
      <c r="K239" s="2"/>
      <c r="L239" s="3"/>
      <c r="M239" s="3"/>
      <c r="N239" s="2" t="s">
        <v>2303</v>
      </c>
      <c r="O239" s="2" t="s">
        <v>2304</v>
      </c>
      <c r="P239" s="2"/>
      <c r="Q239" s="2"/>
      <c r="R239" s="2"/>
      <c r="S239" s="4" t="s">
        <v>2305</v>
      </c>
      <c r="T239" s="2"/>
      <c r="U239" s="2"/>
      <c r="V239" s="2"/>
      <c r="W239" s="2"/>
      <c r="X239" s="5"/>
      <c r="Y239" s="2"/>
      <c r="Z239" s="5"/>
      <c r="AA239" s="2">
        <v>202</v>
      </c>
      <c r="AB239" s="2"/>
      <c r="AC239" s="5"/>
      <c r="AD239" s="5" t="s">
        <v>2306</v>
      </c>
      <c r="AE239" s="3"/>
      <c r="AF239" s="6"/>
      <c r="AG239" s="7"/>
      <c r="AH239" s="2">
        <v>0</v>
      </c>
      <c r="AI239" s="7"/>
      <c r="AJ239" s="3"/>
      <c r="AK239" s="8"/>
      <c r="AL239" s="2" t="str">
        <f t="shared" si="3"/>
        <v>Abrir WhatsApp</v>
      </c>
      <c r="AM239" s="2"/>
      <c r="AN239" s="2" t="s">
        <v>2307</v>
      </c>
      <c r="AO239" s="2" t="s">
        <v>2308</v>
      </c>
      <c r="AP239" s="2"/>
    </row>
    <row r="240" spans="1:42" ht="25" x14ac:dyDescent="0.35">
      <c r="A240" s="2">
        <v>239</v>
      </c>
      <c r="B240" s="2" t="s">
        <v>2180</v>
      </c>
      <c r="C240" s="2">
        <v>2.8</v>
      </c>
      <c r="D240" s="3" t="s">
        <v>43</v>
      </c>
      <c r="E240" s="3" t="s">
        <v>44</v>
      </c>
      <c r="F240" s="3" t="s">
        <v>679</v>
      </c>
      <c r="G240" s="2" t="s">
        <v>46</v>
      </c>
      <c r="H240" s="2" t="s">
        <v>284</v>
      </c>
      <c r="I240" s="2" t="s">
        <v>2309</v>
      </c>
      <c r="J240" s="2" t="s">
        <v>2310</v>
      </c>
      <c r="K240" s="2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5"/>
      <c r="Y240" s="2"/>
      <c r="Z240" s="5"/>
      <c r="AA240" s="2">
        <v>205</v>
      </c>
      <c r="AB240" s="2"/>
      <c r="AC240" s="5"/>
      <c r="AD240" s="5" t="s">
        <v>2311</v>
      </c>
      <c r="AE240" s="3"/>
      <c r="AF240" s="6"/>
      <c r="AG240" s="7"/>
      <c r="AH240" s="2">
        <v>0</v>
      </c>
      <c r="AI240" s="7"/>
      <c r="AJ240" s="3"/>
      <c r="AK240" s="8"/>
      <c r="AL240" s="2" t="str">
        <f t="shared" si="3"/>
        <v/>
      </c>
      <c r="AM240" s="2"/>
      <c r="AN240" s="2" t="s">
        <v>2312</v>
      </c>
      <c r="AO240" s="2" t="s">
        <v>2313</v>
      </c>
      <c r="AP240" s="2"/>
    </row>
    <row r="241" spans="1:42" ht="37.5" x14ac:dyDescent="0.35">
      <c r="A241" s="2">
        <v>240</v>
      </c>
      <c r="B241" s="2" t="s">
        <v>2180</v>
      </c>
      <c r="C241" s="2">
        <v>2.8</v>
      </c>
      <c r="D241" s="3" t="s">
        <v>43</v>
      </c>
      <c r="E241" s="3" t="s">
        <v>44</v>
      </c>
      <c r="F241" s="3" t="s">
        <v>679</v>
      </c>
      <c r="G241" s="2" t="s">
        <v>46</v>
      </c>
      <c r="H241" s="2" t="s">
        <v>46</v>
      </c>
      <c r="I241" s="2" t="s">
        <v>2314</v>
      </c>
      <c r="J241" s="2" t="s">
        <v>2315</v>
      </c>
      <c r="K241" s="2"/>
      <c r="L241" s="3"/>
      <c r="M241" s="3"/>
      <c r="N241" s="2" t="s">
        <v>2316</v>
      </c>
      <c r="O241" s="2" t="s">
        <v>2317</v>
      </c>
      <c r="P241" s="2"/>
      <c r="Q241" s="2"/>
      <c r="R241" s="2"/>
      <c r="S241" s="4" t="s">
        <v>2318</v>
      </c>
      <c r="T241" s="4" t="s">
        <v>2319</v>
      </c>
      <c r="U241" s="2"/>
      <c r="V241" s="2"/>
      <c r="W241" s="2"/>
      <c r="X241" s="5" t="s">
        <v>319</v>
      </c>
      <c r="Y241" s="2" t="s">
        <v>66</v>
      </c>
      <c r="Z241" s="5" t="s">
        <v>2320</v>
      </c>
      <c r="AA241" s="2">
        <v>199</v>
      </c>
      <c r="AB241" s="2"/>
      <c r="AC241" s="5"/>
      <c r="AD241" s="5" t="s">
        <v>2321</v>
      </c>
      <c r="AE241" s="3"/>
      <c r="AF241" s="6"/>
      <c r="AG241" s="7"/>
      <c r="AH241" s="2">
        <v>0</v>
      </c>
      <c r="AI241" s="7"/>
      <c r="AJ241" s="3"/>
      <c r="AK241" s="8"/>
      <c r="AL241" s="2" t="str">
        <f t="shared" si="3"/>
        <v>Abrir WhatsApp</v>
      </c>
      <c r="AM241" s="2"/>
      <c r="AN241" s="2" t="s">
        <v>2322</v>
      </c>
      <c r="AO241" s="2" t="s">
        <v>2323</v>
      </c>
      <c r="AP241" s="2"/>
    </row>
    <row r="242" spans="1:42" ht="25" x14ac:dyDescent="0.35">
      <c r="A242" s="2">
        <v>241</v>
      </c>
      <c r="B242" s="2" t="s">
        <v>2180</v>
      </c>
      <c r="C242" s="2">
        <v>2.8</v>
      </c>
      <c r="D242" s="3" t="s">
        <v>43</v>
      </c>
      <c r="E242" s="3" t="s">
        <v>44</v>
      </c>
      <c r="F242" s="3" t="s">
        <v>679</v>
      </c>
      <c r="G242" s="2" t="s">
        <v>46</v>
      </c>
      <c r="H242" s="2" t="s">
        <v>1728</v>
      </c>
      <c r="I242" s="2" t="s">
        <v>1728</v>
      </c>
      <c r="J242" s="2" t="s">
        <v>2324</v>
      </c>
      <c r="K242" s="2"/>
      <c r="L242" s="3"/>
      <c r="M242" s="3"/>
      <c r="N242" s="2"/>
      <c r="O242" s="2" t="s">
        <v>2325</v>
      </c>
      <c r="P242" s="2"/>
      <c r="Q242" s="2"/>
      <c r="R242" s="2"/>
      <c r="S242" s="2"/>
      <c r="T242" s="2"/>
      <c r="U242" s="2">
        <v>5</v>
      </c>
      <c r="V242" s="2">
        <v>9</v>
      </c>
      <c r="W242" s="2"/>
      <c r="X242" s="5"/>
      <c r="Y242" s="2" t="s">
        <v>66</v>
      </c>
      <c r="Z242" s="5" t="s">
        <v>2326</v>
      </c>
      <c r="AA242" s="2">
        <v>191</v>
      </c>
      <c r="AB242" s="2"/>
      <c r="AC242" s="5"/>
      <c r="AD242" s="5" t="s">
        <v>2327</v>
      </c>
      <c r="AE242" s="3"/>
      <c r="AF242" s="6"/>
      <c r="AG242" s="7"/>
      <c r="AH242" s="2">
        <v>0</v>
      </c>
      <c r="AI242" s="7"/>
      <c r="AJ242" s="3"/>
      <c r="AK242" s="8"/>
      <c r="AL242" s="2" t="str">
        <f t="shared" si="3"/>
        <v>Abrir WhatsApp</v>
      </c>
      <c r="AM242" s="2"/>
      <c r="AN242" s="2" t="s">
        <v>2328</v>
      </c>
      <c r="AO242" s="2" t="s">
        <v>2329</v>
      </c>
      <c r="AP242" s="2"/>
    </row>
    <row r="243" spans="1:42" ht="37.5" x14ac:dyDescent="0.35">
      <c r="A243" s="2">
        <v>242</v>
      </c>
      <c r="B243" s="2" t="s">
        <v>2180</v>
      </c>
      <c r="C243" s="2">
        <v>2.8</v>
      </c>
      <c r="D243" s="3" t="s">
        <v>43</v>
      </c>
      <c r="E243" s="3" t="s">
        <v>44</v>
      </c>
      <c r="F243" s="3" t="s">
        <v>679</v>
      </c>
      <c r="G243" s="2" t="s">
        <v>74</v>
      </c>
      <c r="H243" s="2" t="s">
        <v>591</v>
      </c>
      <c r="I243" s="2" t="s">
        <v>2330</v>
      </c>
      <c r="J243" s="2" t="s">
        <v>2331</v>
      </c>
      <c r="K243" s="2"/>
      <c r="L243" s="3"/>
      <c r="M243" s="3"/>
      <c r="N243" s="2" t="s">
        <v>2332</v>
      </c>
      <c r="O243" s="2" t="s">
        <v>2333</v>
      </c>
      <c r="P243" s="2"/>
      <c r="Q243" s="2"/>
      <c r="R243" s="4" t="s">
        <v>2334</v>
      </c>
      <c r="S243" s="4" t="s">
        <v>2335</v>
      </c>
      <c r="T243" s="2"/>
      <c r="U243" s="2"/>
      <c r="V243" s="2"/>
      <c r="W243" s="2"/>
      <c r="X243" s="5" t="s">
        <v>716</v>
      </c>
      <c r="Y243" s="2"/>
      <c r="Z243" s="5"/>
      <c r="AA243" s="2">
        <v>188</v>
      </c>
      <c r="AB243" s="2" t="s">
        <v>2336</v>
      </c>
      <c r="AC243" s="5"/>
      <c r="AD243" s="5" t="s">
        <v>2337</v>
      </c>
      <c r="AE243" s="3"/>
      <c r="AF243" s="6"/>
      <c r="AG243" s="7"/>
      <c r="AH243" s="2">
        <v>0</v>
      </c>
      <c r="AI243" s="7"/>
      <c r="AJ243" s="3"/>
      <c r="AK243" s="8"/>
      <c r="AL243" s="2" t="str">
        <f t="shared" si="3"/>
        <v>Abrir WhatsApp</v>
      </c>
      <c r="AM243" s="2" t="s">
        <v>2338</v>
      </c>
      <c r="AN243" s="2" t="s">
        <v>2339</v>
      </c>
      <c r="AO243" s="2" t="s">
        <v>2340</v>
      </c>
      <c r="AP243" s="2"/>
    </row>
    <row r="244" spans="1:42" ht="50" x14ac:dyDescent="0.35">
      <c r="A244" s="2">
        <v>243</v>
      </c>
      <c r="B244" s="2" t="s">
        <v>2180</v>
      </c>
      <c r="C244" s="2">
        <v>2.7</v>
      </c>
      <c r="D244" s="3" t="s">
        <v>43</v>
      </c>
      <c r="E244" s="3" t="s">
        <v>44</v>
      </c>
      <c r="F244" s="3" t="s">
        <v>679</v>
      </c>
      <c r="G244" s="2" t="s">
        <v>46</v>
      </c>
      <c r="H244" s="2" t="s">
        <v>46</v>
      </c>
      <c r="I244" s="2" t="s">
        <v>2341</v>
      </c>
      <c r="J244" s="2" t="s">
        <v>2342</v>
      </c>
      <c r="K244" s="2"/>
      <c r="L244" s="3"/>
      <c r="M244" s="3"/>
      <c r="N244" s="2" t="s">
        <v>2343</v>
      </c>
      <c r="O244" s="2" t="s">
        <v>2344</v>
      </c>
      <c r="P244" s="2"/>
      <c r="Q244" s="2" t="s">
        <v>2345</v>
      </c>
      <c r="R244" s="2"/>
      <c r="S244" s="4" t="s">
        <v>2346</v>
      </c>
      <c r="T244" s="2"/>
      <c r="U244" s="2">
        <v>4.7</v>
      </c>
      <c r="V244" s="2">
        <v>14</v>
      </c>
      <c r="W244" s="2"/>
      <c r="X244" s="5" t="s">
        <v>319</v>
      </c>
      <c r="Y244" s="2" t="s">
        <v>66</v>
      </c>
      <c r="Z244" s="5" t="s">
        <v>2347</v>
      </c>
      <c r="AA244" s="2">
        <v>174</v>
      </c>
      <c r="AB244" s="2"/>
      <c r="AC244" s="5"/>
      <c r="AD244" s="5" t="s">
        <v>2348</v>
      </c>
      <c r="AE244" s="3"/>
      <c r="AF244" s="6"/>
      <c r="AG244" s="7"/>
      <c r="AH244" s="2">
        <v>0</v>
      </c>
      <c r="AI244" s="7"/>
      <c r="AJ244" s="3"/>
      <c r="AK244" s="8"/>
      <c r="AL244" s="2" t="str">
        <f t="shared" si="3"/>
        <v>Abrir WhatsApp</v>
      </c>
      <c r="AM244" s="2"/>
      <c r="AN244" s="2" t="s">
        <v>2349</v>
      </c>
      <c r="AO244" s="2" t="s">
        <v>2350</v>
      </c>
      <c r="AP244" s="2"/>
    </row>
    <row r="245" spans="1:42" ht="25" x14ac:dyDescent="0.35">
      <c r="A245" s="2">
        <v>244</v>
      </c>
      <c r="B245" s="2" t="s">
        <v>2180</v>
      </c>
      <c r="C245" s="2">
        <v>2.7</v>
      </c>
      <c r="D245" s="3" t="s">
        <v>43</v>
      </c>
      <c r="E245" s="3" t="s">
        <v>44</v>
      </c>
      <c r="F245" s="3" t="s">
        <v>679</v>
      </c>
      <c r="G245" s="2" t="s">
        <v>46</v>
      </c>
      <c r="H245" s="2" t="s">
        <v>808</v>
      </c>
      <c r="I245" s="2" t="s">
        <v>808</v>
      </c>
      <c r="J245" s="2" t="s">
        <v>2351</v>
      </c>
      <c r="K245" s="2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5"/>
      <c r="Y245" s="2"/>
      <c r="Z245" s="5"/>
      <c r="AA245" s="2">
        <v>184</v>
      </c>
      <c r="AB245" s="2"/>
      <c r="AC245" s="5"/>
      <c r="AD245" s="5" t="s">
        <v>2352</v>
      </c>
      <c r="AE245" s="3"/>
      <c r="AF245" s="6"/>
      <c r="AG245" s="7"/>
      <c r="AH245" s="2">
        <v>0</v>
      </c>
      <c r="AI245" s="7"/>
      <c r="AJ245" s="3"/>
      <c r="AK245" s="8"/>
      <c r="AL245" s="2" t="str">
        <f t="shared" si="3"/>
        <v/>
      </c>
      <c r="AM245" s="2"/>
      <c r="AN245" s="2" t="s">
        <v>2353</v>
      </c>
      <c r="AO245" s="2" t="s">
        <v>2354</v>
      </c>
      <c r="AP245" s="2"/>
    </row>
    <row r="246" spans="1:42" ht="50" x14ac:dyDescent="0.35">
      <c r="A246" s="2">
        <v>245</v>
      </c>
      <c r="B246" s="2" t="s">
        <v>2180</v>
      </c>
      <c r="C246" s="2">
        <v>2.7</v>
      </c>
      <c r="D246" s="3" t="s">
        <v>43</v>
      </c>
      <c r="E246" s="3" t="s">
        <v>44</v>
      </c>
      <c r="F246" s="3" t="s">
        <v>679</v>
      </c>
      <c r="G246" s="2" t="s">
        <v>126</v>
      </c>
      <c r="H246" s="2" t="s">
        <v>790</v>
      </c>
      <c r="I246" s="2" t="s">
        <v>790</v>
      </c>
      <c r="J246" s="2" t="s">
        <v>2355</v>
      </c>
      <c r="K246" s="2"/>
      <c r="L246" s="3"/>
      <c r="M246" s="3"/>
      <c r="N246" s="2"/>
      <c r="O246" s="2"/>
      <c r="P246" s="2"/>
      <c r="Q246" s="2"/>
      <c r="R246" s="2"/>
      <c r="S246" s="4" t="s">
        <v>2356</v>
      </c>
      <c r="T246" s="2"/>
      <c r="U246" s="2"/>
      <c r="V246" s="2"/>
      <c r="W246" s="2"/>
      <c r="X246" s="5" t="s">
        <v>2357</v>
      </c>
      <c r="Y246" s="2"/>
      <c r="Z246" s="5"/>
      <c r="AA246" s="2">
        <v>296</v>
      </c>
      <c r="AB246" s="2"/>
      <c r="AC246" s="5"/>
      <c r="AD246" s="5" t="s">
        <v>2358</v>
      </c>
      <c r="AE246" s="3"/>
      <c r="AF246" s="6"/>
      <c r="AG246" s="7"/>
      <c r="AH246" s="2">
        <v>0</v>
      </c>
      <c r="AI246" s="7"/>
      <c r="AJ246" s="3"/>
      <c r="AK246" s="8"/>
      <c r="AL246" s="2" t="str">
        <f t="shared" si="3"/>
        <v/>
      </c>
      <c r="AM246" s="2"/>
      <c r="AN246" s="2" t="s">
        <v>2359</v>
      </c>
      <c r="AO246" s="2" t="s">
        <v>2360</v>
      </c>
      <c r="AP246" s="2"/>
    </row>
    <row r="247" spans="1:42" ht="25" x14ac:dyDescent="0.35">
      <c r="A247" s="2">
        <v>246</v>
      </c>
      <c r="B247" s="2" t="s">
        <v>2180</v>
      </c>
      <c r="C247" s="2">
        <v>2.6</v>
      </c>
      <c r="D247" s="3" t="s">
        <v>43</v>
      </c>
      <c r="E247" s="3" t="s">
        <v>44</v>
      </c>
      <c r="F247" s="3" t="s">
        <v>679</v>
      </c>
      <c r="G247" s="2" t="s">
        <v>46</v>
      </c>
      <c r="H247" s="2" t="s">
        <v>2295</v>
      </c>
      <c r="I247" s="2" t="s">
        <v>2361</v>
      </c>
      <c r="J247" s="2" t="s">
        <v>2362</v>
      </c>
      <c r="K247" s="2"/>
      <c r="L247" s="3"/>
      <c r="M247" s="3"/>
      <c r="N247" s="2" t="s">
        <v>2363</v>
      </c>
      <c r="O247" s="2" t="s">
        <v>2364</v>
      </c>
      <c r="P247" s="2"/>
      <c r="Q247" s="2" t="s">
        <v>2365</v>
      </c>
      <c r="R247" s="2"/>
      <c r="S247" s="4" t="s">
        <v>2366</v>
      </c>
      <c r="T247" s="2"/>
      <c r="U247" s="2">
        <v>4.8</v>
      </c>
      <c r="V247" s="2">
        <v>6</v>
      </c>
      <c r="W247" s="2"/>
      <c r="X247" s="5"/>
      <c r="Y247" s="2" t="s">
        <v>66</v>
      </c>
      <c r="Z247" s="5" t="s">
        <v>2367</v>
      </c>
      <c r="AA247" s="2">
        <v>140</v>
      </c>
      <c r="AB247" s="2"/>
      <c r="AC247" s="5"/>
      <c r="AD247" s="5" t="s">
        <v>2368</v>
      </c>
      <c r="AE247" s="3"/>
      <c r="AF247" s="6"/>
      <c r="AG247" s="7"/>
      <c r="AH247" s="2">
        <v>0</v>
      </c>
      <c r="AI247" s="7"/>
      <c r="AJ247" s="3"/>
      <c r="AK247" s="8"/>
      <c r="AL247" s="2" t="str">
        <f t="shared" si="3"/>
        <v>Abrir WhatsApp</v>
      </c>
      <c r="AM247" s="2"/>
      <c r="AN247" s="2" t="s">
        <v>2369</v>
      </c>
      <c r="AO247" s="2" t="s">
        <v>2370</v>
      </c>
      <c r="AP247" s="2"/>
    </row>
    <row r="248" spans="1:42" ht="37.5" x14ac:dyDescent="0.35">
      <c r="A248" s="2">
        <v>247</v>
      </c>
      <c r="B248" s="2" t="s">
        <v>2180</v>
      </c>
      <c r="C248" s="2">
        <v>2.5</v>
      </c>
      <c r="D248" s="3" t="s">
        <v>43</v>
      </c>
      <c r="E248" s="3" t="s">
        <v>44</v>
      </c>
      <c r="F248" s="3" t="s">
        <v>679</v>
      </c>
      <c r="G248" s="2" t="s">
        <v>46</v>
      </c>
      <c r="H248" s="2" t="s">
        <v>284</v>
      </c>
      <c r="I248" s="2" t="s">
        <v>2371</v>
      </c>
      <c r="J248" s="2" t="s">
        <v>2372</v>
      </c>
      <c r="K248" s="2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5"/>
      <c r="Y248" s="2"/>
      <c r="Z248" s="5"/>
      <c r="AA248" s="2">
        <v>125</v>
      </c>
      <c r="AB248" s="2"/>
      <c r="AC248" s="5"/>
      <c r="AD248" s="5" t="s">
        <v>2373</v>
      </c>
      <c r="AE248" s="3"/>
      <c r="AF248" s="6"/>
      <c r="AG248" s="7"/>
      <c r="AH248" s="2">
        <v>0</v>
      </c>
      <c r="AI248" s="7"/>
      <c r="AJ248" s="3"/>
      <c r="AK248" s="8"/>
      <c r="AL248" s="2" t="str">
        <f t="shared" si="3"/>
        <v/>
      </c>
      <c r="AM248" s="2"/>
      <c r="AN248" s="2" t="s">
        <v>2374</v>
      </c>
      <c r="AO248" s="2" t="s">
        <v>2375</v>
      </c>
      <c r="AP248" s="2"/>
    </row>
    <row r="249" spans="1:42" ht="37.5" x14ac:dyDescent="0.35">
      <c r="A249" s="2">
        <v>248</v>
      </c>
      <c r="B249" s="2" t="s">
        <v>2180</v>
      </c>
      <c r="C249" s="2">
        <v>2.5</v>
      </c>
      <c r="D249" s="3" t="s">
        <v>43</v>
      </c>
      <c r="E249" s="3" t="s">
        <v>44</v>
      </c>
      <c r="F249" s="3" t="s">
        <v>679</v>
      </c>
      <c r="G249" s="2" t="s">
        <v>46</v>
      </c>
      <c r="H249" s="2" t="s">
        <v>2230</v>
      </c>
      <c r="I249" s="2" t="s">
        <v>2230</v>
      </c>
      <c r="J249" s="2" t="s">
        <v>2376</v>
      </c>
      <c r="K249" s="2"/>
      <c r="L249" s="3"/>
      <c r="M249" s="3"/>
      <c r="N249" s="2" t="s">
        <v>2377</v>
      </c>
      <c r="O249" s="2" t="s">
        <v>2378</v>
      </c>
      <c r="P249" s="2"/>
      <c r="Q249" s="2" t="s">
        <v>2379</v>
      </c>
      <c r="R249" s="2"/>
      <c r="S249" s="2"/>
      <c r="T249" s="2"/>
      <c r="U249" s="2"/>
      <c r="V249" s="2"/>
      <c r="W249" s="2"/>
      <c r="X249" s="5"/>
      <c r="Y249" s="2"/>
      <c r="Z249" s="5"/>
      <c r="AA249" s="2">
        <v>133</v>
      </c>
      <c r="AB249" s="2"/>
      <c r="AC249" s="5"/>
      <c r="AD249" s="5" t="s">
        <v>2380</v>
      </c>
      <c r="AE249" s="3"/>
      <c r="AF249" s="6"/>
      <c r="AG249" s="7"/>
      <c r="AH249" s="2">
        <v>0</v>
      </c>
      <c r="AI249" s="7"/>
      <c r="AJ249" s="3"/>
      <c r="AK249" s="8"/>
      <c r="AL249" s="2" t="str">
        <f t="shared" si="3"/>
        <v>Abrir WhatsApp</v>
      </c>
      <c r="AM249" s="2"/>
      <c r="AN249" s="2" t="s">
        <v>2381</v>
      </c>
      <c r="AO249" s="2" t="s">
        <v>2382</v>
      </c>
      <c r="AP249" s="2"/>
    </row>
    <row r="250" spans="1:42" ht="25" x14ac:dyDescent="0.35">
      <c r="A250" s="2">
        <v>249</v>
      </c>
      <c r="B250" s="2" t="s">
        <v>2180</v>
      </c>
      <c r="C250" s="2">
        <v>2.5</v>
      </c>
      <c r="D250" s="3" t="s">
        <v>43</v>
      </c>
      <c r="E250" s="3" t="s">
        <v>44</v>
      </c>
      <c r="F250" s="3" t="s">
        <v>679</v>
      </c>
      <c r="G250" s="2" t="s">
        <v>46</v>
      </c>
      <c r="H250" s="2" t="s">
        <v>284</v>
      </c>
      <c r="I250" s="2" t="s">
        <v>2383</v>
      </c>
      <c r="J250" s="2" t="s">
        <v>2384</v>
      </c>
      <c r="K250" s="2"/>
      <c r="L250" s="3"/>
      <c r="M250" s="3"/>
      <c r="N250" s="2"/>
      <c r="O250" s="2" t="s">
        <v>2385</v>
      </c>
      <c r="P250" s="2"/>
      <c r="Q250" s="2"/>
      <c r="R250" s="2"/>
      <c r="S250" s="2"/>
      <c r="T250" s="2"/>
      <c r="U250" s="2">
        <v>5</v>
      </c>
      <c r="V250" s="2">
        <v>4</v>
      </c>
      <c r="W250" s="2"/>
      <c r="X250" s="5"/>
      <c r="Y250" s="2" t="s">
        <v>66</v>
      </c>
      <c r="Z250" s="5" t="s">
        <v>2386</v>
      </c>
      <c r="AA250" s="2">
        <v>117</v>
      </c>
      <c r="AB250" s="2"/>
      <c r="AC250" s="5"/>
      <c r="AD250" s="5" t="s">
        <v>2387</v>
      </c>
      <c r="AE250" s="3"/>
      <c r="AF250" s="6"/>
      <c r="AG250" s="7"/>
      <c r="AH250" s="2">
        <v>0</v>
      </c>
      <c r="AI250" s="7"/>
      <c r="AJ250" s="3"/>
      <c r="AK250" s="8"/>
      <c r="AL250" s="2" t="str">
        <f t="shared" si="3"/>
        <v>Abrir WhatsApp</v>
      </c>
      <c r="AM250" s="2"/>
      <c r="AN250" s="2" t="s">
        <v>2388</v>
      </c>
      <c r="AO250" s="2" t="s">
        <v>2389</v>
      </c>
      <c r="AP250" s="2"/>
    </row>
    <row r="251" spans="1:42" ht="37.5" x14ac:dyDescent="0.35">
      <c r="A251" s="2">
        <v>250</v>
      </c>
      <c r="B251" s="2" t="s">
        <v>2180</v>
      </c>
      <c r="C251" s="2">
        <v>2.5</v>
      </c>
      <c r="D251" s="3" t="s">
        <v>43</v>
      </c>
      <c r="E251" s="3" t="s">
        <v>44</v>
      </c>
      <c r="F251" s="3" t="s">
        <v>679</v>
      </c>
      <c r="G251" s="2" t="s">
        <v>126</v>
      </c>
      <c r="H251" s="2" t="s">
        <v>2390</v>
      </c>
      <c r="I251" s="2" t="s">
        <v>2390</v>
      </c>
      <c r="J251" s="2" t="s">
        <v>2391</v>
      </c>
      <c r="K251" s="2"/>
      <c r="L251" s="3"/>
      <c r="M251" s="3"/>
      <c r="N251" s="2" t="s">
        <v>2392</v>
      </c>
      <c r="O251" s="2" t="s">
        <v>2393</v>
      </c>
      <c r="P251" s="2"/>
      <c r="Q251" s="2"/>
      <c r="R251" s="2"/>
      <c r="S251" s="4" t="s">
        <v>2394</v>
      </c>
      <c r="T251" s="2"/>
      <c r="U251" s="2">
        <v>4.9000000000000004</v>
      </c>
      <c r="V251" s="2">
        <v>8</v>
      </c>
      <c r="W251" s="2"/>
      <c r="X251" s="5" t="s">
        <v>224</v>
      </c>
      <c r="Y251" s="2" t="s">
        <v>118</v>
      </c>
      <c r="Z251" s="5" t="s">
        <v>2395</v>
      </c>
      <c r="AA251" s="2">
        <v>248</v>
      </c>
      <c r="AB251" s="2"/>
      <c r="AC251" s="5"/>
      <c r="AD251" s="5" t="s">
        <v>2396</v>
      </c>
      <c r="AE251" s="3"/>
      <c r="AF251" s="6"/>
      <c r="AG251" s="7"/>
      <c r="AH251" s="2">
        <v>0</v>
      </c>
      <c r="AI251" s="7"/>
      <c r="AJ251" s="3"/>
      <c r="AK251" s="8"/>
      <c r="AL251" s="2" t="str">
        <f t="shared" si="3"/>
        <v>Abrir WhatsApp</v>
      </c>
      <c r="AM251" s="2"/>
      <c r="AN251" s="2" t="s">
        <v>2397</v>
      </c>
      <c r="AO251" s="2" t="s">
        <v>2398</v>
      </c>
      <c r="AP251" s="2"/>
    </row>
    <row r="252" spans="1:42" x14ac:dyDescent="0.35">
      <c r="A252" s="2">
        <v>251</v>
      </c>
      <c r="B252" s="2" t="s">
        <v>2180</v>
      </c>
      <c r="C252" s="2">
        <v>2.4</v>
      </c>
      <c r="D252" s="3" t="s">
        <v>43</v>
      </c>
      <c r="E252" s="3" t="s">
        <v>44</v>
      </c>
      <c r="F252" s="3" t="s">
        <v>679</v>
      </c>
      <c r="G252" s="2" t="s">
        <v>46</v>
      </c>
      <c r="H252" s="2" t="s">
        <v>2295</v>
      </c>
      <c r="I252" s="2" t="s">
        <v>2295</v>
      </c>
      <c r="J252" s="2" t="s">
        <v>2399</v>
      </c>
      <c r="K252" s="2"/>
      <c r="L252" s="3"/>
      <c r="M252" s="3"/>
      <c r="N252" s="2" t="s">
        <v>2400</v>
      </c>
      <c r="O252" s="2"/>
      <c r="P252" s="2"/>
      <c r="Q252" s="2"/>
      <c r="R252" s="2"/>
      <c r="S252" s="2"/>
      <c r="T252" s="2"/>
      <c r="U252" s="2"/>
      <c r="V252" s="2"/>
      <c r="W252" s="2"/>
      <c r="X252" s="5"/>
      <c r="Y252" s="2"/>
      <c r="Z252" s="5"/>
      <c r="AA252" s="2">
        <v>103</v>
      </c>
      <c r="AB252" s="2"/>
      <c r="AC252" s="5"/>
      <c r="AD252" s="5" t="s">
        <v>2401</v>
      </c>
      <c r="AE252" s="3"/>
      <c r="AF252" s="6"/>
      <c r="AG252" s="7"/>
      <c r="AH252" s="2">
        <v>0</v>
      </c>
      <c r="AI252" s="7"/>
      <c r="AJ252" s="3"/>
      <c r="AK252" s="8"/>
      <c r="AL252" s="2" t="str">
        <f t="shared" si="3"/>
        <v/>
      </c>
      <c r="AM252" s="2"/>
      <c r="AN252" s="2" t="s">
        <v>2402</v>
      </c>
      <c r="AO252" s="2" t="s">
        <v>2403</v>
      </c>
      <c r="AP252" s="2"/>
    </row>
    <row r="253" spans="1:42" ht="25" x14ac:dyDescent="0.35">
      <c r="A253" s="2">
        <v>252</v>
      </c>
      <c r="B253" s="2" t="s">
        <v>2180</v>
      </c>
      <c r="C253" s="2">
        <v>2.4</v>
      </c>
      <c r="D253" s="3" t="s">
        <v>43</v>
      </c>
      <c r="E253" s="3" t="s">
        <v>44</v>
      </c>
      <c r="F253" s="3" t="s">
        <v>679</v>
      </c>
      <c r="G253" s="2" t="s">
        <v>46</v>
      </c>
      <c r="H253" s="2" t="s">
        <v>1735</v>
      </c>
      <c r="I253" s="2" t="s">
        <v>2404</v>
      </c>
      <c r="J253" s="2" t="s">
        <v>2405</v>
      </c>
      <c r="K253" s="2"/>
      <c r="L253" s="3"/>
      <c r="M253" s="3"/>
      <c r="N253" s="2" t="s">
        <v>2406</v>
      </c>
      <c r="O253" s="2" t="s">
        <v>2407</v>
      </c>
      <c r="P253" s="2"/>
      <c r="Q253" s="2"/>
      <c r="R253" s="2"/>
      <c r="S253" s="4" t="s">
        <v>2408</v>
      </c>
      <c r="T253" s="2"/>
      <c r="U253" s="2">
        <v>5</v>
      </c>
      <c r="V253" s="2">
        <v>3</v>
      </c>
      <c r="W253" s="2"/>
      <c r="X253" s="5"/>
      <c r="Y253" s="2" t="s">
        <v>66</v>
      </c>
      <c r="Z253" s="5" t="s">
        <v>2409</v>
      </c>
      <c r="AA253" s="2">
        <v>94</v>
      </c>
      <c r="AB253" s="2"/>
      <c r="AC253" s="5"/>
      <c r="AD253" s="5" t="s">
        <v>2410</v>
      </c>
      <c r="AE253" s="3"/>
      <c r="AF253" s="6"/>
      <c r="AG253" s="7"/>
      <c r="AH253" s="2">
        <v>0</v>
      </c>
      <c r="AI253" s="7"/>
      <c r="AJ253" s="3"/>
      <c r="AK253" s="8"/>
      <c r="AL253" s="2" t="str">
        <f t="shared" si="3"/>
        <v>Abrir WhatsApp</v>
      </c>
      <c r="AM253" s="2"/>
      <c r="AN253" s="2" t="s">
        <v>2411</v>
      </c>
      <c r="AO253" s="2" t="s">
        <v>2412</v>
      </c>
      <c r="AP253" s="2"/>
    </row>
    <row r="254" spans="1:42" ht="37.5" x14ac:dyDescent="0.35">
      <c r="A254" s="2">
        <v>253</v>
      </c>
      <c r="B254" s="2" t="s">
        <v>2180</v>
      </c>
      <c r="C254" s="2">
        <v>2.4</v>
      </c>
      <c r="D254" s="3" t="s">
        <v>43</v>
      </c>
      <c r="E254" s="3" t="s">
        <v>44</v>
      </c>
      <c r="F254" s="3" t="s">
        <v>679</v>
      </c>
      <c r="G254" s="2" t="s">
        <v>126</v>
      </c>
      <c r="H254" s="2" t="s">
        <v>346</v>
      </c>
      <c r="I254" s="2" t="s">
        <v>346</v>
      </c>
      <c r="J254" s="2" t="s">
        <v>2413</v>
      </c>
      <c r="K254" s="2"/>
      <c r="L254" s="3"/>
      <c r="M254" s="3"/>
      <c r="N254" s="2" t="s">
        <v>2414</v>
      </c>
      <c r="O254" s="2" t="s">
        <v>2415</v>
      </c>
      <c r="P254" s="2"/>
      <c r="Q254" s="2"/>
      <c r="R254" s="4" t="s">
        <v>2416</v>
      </c>
      <c r="S254" s="2"/>
      <c r="T254" s="2"/>
      <c r="U254" s="2">
        <v>4.5999999999999996</v>
      </c>
      <c r="V254" s="2">
        <v>8</v>
      </c>
      <c r="W254" s="2"/>
      <c r="X254" s="5" t="s">
        <v>224</v>
      </c>
      <c r="Y254" s="2" t="s">
        <v>66</v>
      </c>
      <c r="Z254" s="5" t="s">
        <v>2417</v>
      </c>
      <c r="AA254" s="2">
        <v>231</v>
      </c>
      <c r="AB254" s="2"/>
      <c r="AC254" s="5"/>
      <c r="AD254" s="5" t="s">
        <v>2418</v>
      </c>
      <c r="AE254" s="3"/>
      <c r="AF254" s="6"/>
      <c r="AG254" s="7"/>
      <c r="AH254" s="2">
        <v>0</v>
      </c>
      <c r="AI254" s="7"/>
      <c r="AJ254" s="3"/>
      <c r="AK254" s="8"/>
      <c r="AL254" s="2" t="str">
        <f t="shared" si="3"/>
        <v>Abrir WhatsApp</v>
      </c>
      <c r="AM254" s="2"/>
      <c r="AN254" s="2" t="s">
        <v>2419</v>
      </c>
      <c r="AO254" s="2" t="s">
        <v>2420</v>
      </c>
      <c r="AP254" s="2"/>
    </row>
    <row r="255" spans="1:42" ht="25" x14ac:dyDescent="0.35">
      <c r="A255" s="2">
        <v>254</v>
      </c>
      <c r="B255" s="2" t="s">
        <v>2180</v>
      </c>
      <c r="C255" s="2">
        <v>2.4</v>
      </c>
      <c r="D255" s="3" t="s">
        <v>43</v>
      </c>
      <c r="E255" s="3" t="s">
        <v>44</v>
      </c>
      <c r="F255" s="3" t="s">
        <v>679</v>
      </c>
      <c r="G255" s="2" t="s">
        <v>126</v>
      </c>
      <c r="H255" s="2" t="s">
        <v>541</v>
      </c>
      <c r="I255" s="2" t="s">
        <v>541</v>
      </c>
      <c r="J255" s="2" t="s">
        <v>2421</v>
      </c>
      <c r="K255" s="2"/>
      <c r="L255" s="3"/>
      <c r="M255" s="3"/>
      <c r="N255" s="2" t="s">
        <v>2422</v>
      </c>
      <c r="O255" s="2"/>
      <c r="P255" s="2"/>
      <c r="Q255" s="2" t="s">
        <v>2423</v>
      </c>
      <c r="R255" s="2"/>
      <c r="S255" s="4" t="s">
        <v>2424</v>
      </c>
      <c r="T255" s="2"/>
      <c r="U255" s="2"/>
      <c r="V255" s="2"/>
      <c r="W255" s="2"/>
      <c r="X255" s="5"/>
      <c r="Y255" s="2"/>
      <c r="Z255" s="5"/>
      <c r="AA255" s="2">
        <v>214</v>
      </c>
      <c r="AB255" s="2"/>
      <c r="AC255" s="5"/>
      <c r="AD255" s="5" t="s">
        <v>2425</v>
      </c>
      <c r="AE255" s="3"/>
      <c r="AF255" s="6"/>
      <c r="AG255" s="7"/>
      <c r="AH255" s="2">
        <v>0</v>
      </c>
      <c r="AI255" s="7"/>
      <c r="AJ255" s="3"/>
      <c r="AK255" s="8"/>
      <c r="AL255" s="2" t="str">
        <f t="shared" si="3"/>
        <v/>
      </c>
      <c r="AM255" s="2"/>
      <c r="AN255" s="2" t="s">
        <v>2426</v>
      </c>
      <c r="AO255" s="2" t="s">
        <v>2427</v>
      </c>
      <c r="AP255" s="2"/>
    </row>
    <row r="256" spans="1:42" x14ac:dyDescent="0.35">
      <c r="A256" s="2">
        <v>255</v>
      </c>
      <c r="B256" s="2" t="s">
        <v>2180</v>
      </c>
      <c r="C256" s="2">
        <v>2.2999999999999998</v>
      </c>
      <c r="D256" s="3" t="s">
        <v>43</v>
      </c>
      <c r="E256" s="3" t="s">
        <v>44</v>
      </c>
      <c r="F256" s="3" t="s">
        <v>679</v>
      </c>
      <c r="G256" s="2" t="s">
        <v>46</v>
      </c>
      <c r="H256" s="2" t="s">
        <v>161</v>
      </c>
      <c r="I256" s="2" t="s">
        <v>2428</v>
      </c>
      <c r="J256" s="2" t="s">
        <v>2429</v>
      </c>
      <c r="K256" s="2"/>
      <c r="L256" s="3"/>
      <c r="M256" s="3"/>
      <c r="N256" s="2" t="s">
        <v>2430</v>
      </c>
      <c r="O256" s="2"/>
      <c r="P256" s="2"/>
      <c r="Q256" s="2"/>
      <c r="R256" s="2"/>
      <c r="S256" s="2"/>
      <c r="T256" s="2"/>
      <c r="U256" s="2"/>
      <c r="V256" s="2"/>
      <c r="W256" s="2"/>
      <c r="X256" s="5"/>
      <c r="Y256" s="2"/>
      <c r="Z256" s="5"/>
      <c r="AA256" s="2">
        <v>70</v>
      </c>
      <c r="AB256" s="2"/>
      <c r="AC256" s="5"/>
      <c r="AD256" s="5" t="s">
        <v>2431</v>
      </c>
      <c r="AE256" s="3"/>
      <c r="AF256" s="6"/>
      <c r="AG256" s="7"/>
      <c r="AH256" s="2">
        <v>0</v>
      </c>
      <c r="AI256" s="7"/>
      <c r="AJ256" s="3"/>
      <c r="AK256" s="8"/>
      <c r="AL256" s="2" t="str">
        <f t="shared" si="3"/>
        <v/>
      </c>
      <c r="AM256" s="2"/>
      <c r="AN256" s="2" t="s">
        <v>2432</v>
      </c>
      <c r="AO256" s="2" t="s">
        <v>2433</v>
      </c>
      <c r="AP256" s="2"/>
    </row>
    <row r="257" spans="1:42" ht="50" x14ac:dyDescent="0.35">
      <c r="A257" s="2">
        <v>256</v>
      </c>
      <c r="B257" s="2" t="s">
        <v>2180</v>
      </c>
      <c r="C257" s="2">
        <v>2.2999999999999998</v>
      </c>
      <c r="D257" s="3" t="s">
        <v>43</v>
      </c>
      <c r="E257" s="3" t="s">
        <v>44</v>
      </c>
      <c r="F257" s="3" t="s">
        <v>679</v>
      </c>
      <c r="G257" s="2" t="s">
        <v>126</v>
      </c>
      <c r="H257" s="2" t="s">
        <v>2390</v>
      </c>
      <c r="I257" s="2" t="s">
        <v>2390</v>
      </c>
      <c r="J257" s="2" t="s">
        <v>2434</v>
      </c>
      <c r="K257" s="2"/>
      <c r="L257" s="3"/>
      <c r="M257" s="3"/>
      <c r="N257" s="2"/>
      <c r="O257" s="2"/>
      <c r="P257" s="2"/>
      <c r="Q257" s="2"/>
      <c r="R257" s="2"/>
      <c r="S257" s="4" t="s">
        <v>2435</v>
      </c>
      <c r="T257" s="2"/>
      <c r="U257" s="2"/>
      <c r="V257" s="2"/>
      <c r="W257" s="2"/>
      <c r="X257" s="5"/>
      <c r="Y257" s="2"/>
      <c r="Z257" s="5"/>
      <c r="AA257" s="2">
        <v>211</v>
      </c>
      <c r="AB257" s="2"/>
      <c r="AC257" s="5"/>
      <c r="AD257" s="5" t="s">
        <v>2436</v>
      </c>
      <c r="AE257" s="3"/>
      <c r="AF257" s="6"/>
      <c r="AG257" s="7"/>
      <c r="AH257" s="2">
        <v>0</v>
      </c>
      <c r="AI257" s="7"/>
      <c r="AJ257" s="3"/>
      <c r="AK257" s="8"/>
      <c r="AL257" s="2" t="str">
        <f t="shared" si="3"/>
        <v/>
      </c>
      <c r="AM257" s="2"/>
      <c r="AN257" s="2"/>
      <c r="AO257" s="2" t="s">
        <v>2437</v>
      </c>
      <c r="AP257" s="2"/>
    </row>
    <row r="258" spans="1:42" ht="25" x14ac:dyDescent="0.35">
      <c r="A258" s="2">
        <v>257</v>
      </c>
      <c r="B258" s="2" t="s">
        <v>2180</v>
      </c>
      <c r="C258" s="2">
        <v>2.2000000000000002</v>
      </c>
      <c r="D258" s="3" t="s">
        <v>43</v>
      </c>
      <c r="E258" s="3" t="s">
        <v>44</v>
      </c>
      <c r="F258" s="3" t="s">
        <v>679</v>
      </c>
      <c r="G258" s="2" t="s">
        <v>74</v>
      </c>
      <c r="H258" s="2" t="s">
        <v>294</v>
      </c>
      <c r="I258" s="2" t="s">
        <v>2438</v>
      </c>
      <c r="J258" s="2" t="s">
        <v>2439</v>
      </c>
      <c r="K258" s="2"/>
      <c r="L258" s="3"/>
      <c r="M258" s="3"/>
      <c r="N258" s="2" t="s">
        <v>2440</v>
      </c>
      <c r="O258" s="2"/>
      <c r="P258" s="2"/>
      <c r="Q258" s="2"/>
      <c r="R258" s="2"/>
      <c r="S258" s="2"/>
      <c r="T258" s="2"/>
      <c r="U258" s="2"/>
      <c r="V258" s="2"/>
      <c r="W258" s="2"/>
      <c r="X258" s="5"/>
      <c r="Y258" s="2"/>
      <c r="Z258" s="5"/>
      <c r="AA258" s="2">
        <v>40</v>
      </c>
      <c r="AB258" s="2"/>
      <c r="AC258" s="5"/>
      <c r="AD258" s="5" t="s">
        <v>2441</v>
      </c>
      <c r="AE258" s="3"/>
      <c r="AF258" s="6"/>
      <c r="AG258" s="7"/>
      <c r="AH258" s="2">
        <v>0</v>
      </c>
      <c r="AI258" s="7"/>
      <c r="AJ258" s="3"/>
      <c r="AK258" s="8"/>
      <c r="AL258" s="2" t="str">
        <f t="shared" ref="AL258:AL321" si="4">IF(IF(O258&lt;&gt;"",O258,IF(LEFT(TRIM(N258),1)="9",N258,""))="","",HYPERLINK("https://wa.me/351"&amp;LEFT(SUBSTITUTE(SUBSTITUTE(SUBSTITUTE(IF(O258&lt;&gt;"",O258,IF(LEFT(TRIM(N258),1)="9",N258,""))," ",""),"+351",""),"-",""),9),"Abrir WhatsApp"))</f>
        <v/>
      </c>
      <c r="AM258" s="2"/>
      <c r="AN258" s="2" t="s">
        <v>2442</v>
      </c>
      <c r="AO258" s="2" t="s">
        <v>2443</v>
      </c>
      <c r="AP258" s="2"/>
    </row>
    <row r="259" spans="1:42" ht="25" x14ac:dyDescent="0.35">
      <c r="A259" s="2">
        <v>258</v>
      </c>
      <c r="B259" s="2" t="s">
        <v>2180</v>
      </c>
      <c r="C259" s="2">
        <v>2.1</v>
      </c>
      <c r="D259" s="3" t="s">
        <v>43</v>
      </c>
      <c r="E259" s="3" t="s">
        <v>44</v>
      </c>
      <c r="F259" s="3" t="s">
        <v>679</v>
      </c>
      <c r="G259" s="2" t="s">
        <v>46</v>
      </c>
      <c r="H259" s="2" t="s">
        <v>2230</v>
      </c>
      <c r="I259" s="2" t="s">
        <v>2230</v>
      </c>
      <c r="J259" s="2" t="s">
        <v>2444</v>
      </c>
      <c r="K259" s="2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5"/>
      <c r="Y259" s="2"/>
      <c r="Z259" s="5"/>
      <c r="AA259" s="2">
        <v>20</v>
      </c>
      <c r="AB259" s="2"/>
      <c r="AC259" s="5"/>
      <c r="AD259" s="5" t="s">
        <v>2445</v>
      </c>
      <c r="AE259" s="3"/>
      <c r="AF259" s="6"/>
      <c r="AG259" s="7"/>
      <c r="AH259" s="2">
        <v>0</v>
      </c>
      <c r="AI259" s="7"/>
      <c r="AJ259" s="3"/>
      <c r="AK259" s="8"/>
      <c r="AL259" s="2" t="str">
        <f t="shared" si="4"/>
        <v/>
      </c>
      <c r="AM259" s="2"/>
      <c r="AN259" s="2" t="s">
        <v>2446</v>
      </c>
      <c r="AO259" s="2" t="s">
        <v>2447</v>
      </c>
      <c r="AP259" s="2"/>
    </row>
    <row r="260" spans="1:42" ht="25" x14ac:dyDescent="0.35">
      <c r="A260" s="2">
        <v>259</v>
      </c>
      <c r="B260" s="2" t="s">
        <v>2180</v>
      </c>
      <c r="C260" s="2">
        <v>2.1</v>
      </c>
      <c r="D260" s="3" t="s">
        <v>43</v>
      </c>
      <c r="E260" s="3" t="s">
        <v>44</v>
      </c>
      <c r="F260" s="3" t="s">
        <v>679</v>
      </c>
      <c r="G260" s="2" t="s">
        <v>126</v>
      </c>
      <c r="H260" s="2" t="s">
        <v>2448</v>
      </c>
      <c r="I260" s="2" t="s">
        <v>2448</v>
      </c>
      <c r="J260" s="2" t="s">
        <v>2449</v>
      </c>
      <c r="K260" s="2"/>
      <c r="L260" s="3"/>
      <c r="M260" s="3"/>
      <c r="N260" s="2" t="s">
        <v>2450</v>
      </c>
      <c r="O260" s="2"/>
      <c r="P260" s="2"/>
      <c r="Q260" s="2" t="s">
        <v>2451</v>
      </c>
      <c r="R260" s="2"/>
      <c r="S260" s="4" t="s">
        <v>2452</v>
      </c>
      <c r="T260" s="2"/>
      <c r="U260" s="2"/>
      <c r="V260" s="2">
        <v>2</v>
      </c>
      <c r="W260" s="2"/>
      <c r="X260" s="5"/>
      <c r="Y260" s="2"/>
      <c r="Z260" s="5"/>
      <c r="AA260" s="2">
        <v>156</v>
      </c>
      <c r="AB260" s="2"/>
      <c r="AC260" s="5"/>
      <c r="AD260" s="5" t="s">
        <v>2453</v>
      </c>
      <c r="AE260" s="3"/>
      <c r="AF260" s="6"/>
      <c r="AG260" s="7"/>
      <c r="AH260" s="2">
        <v>0</v>
      </c>
      <c r="AI260" s="7"/>
      <c r="AJ260" s="3"/>
      <c r="AK260" s="8"/>
      <c r="AL260" s="2" t="str">
        <f t="shared" si="4"/>
        <v/>
      </c>
      <c r="AM260" s="2"/>
      <c r="AN260" s="2" t="s">
        <v>2454</v>
      </c>
      <c r="AO260" s="2" t="s">
        <v>2455</v>
      </c>
      <c r="AP260" s="2"/>
    </row>
    <row r="261" spans="1:42" ht="50" x14ac:dyDescent="0.35">
      <c r="A261" s="2">
        <v>260</v>
      </c>
      <c r="B261" s="2" t="s">
        <v>2180</v>
      </c>
      <c r="C261" s="2">
        <v>2.1</v>
      </c>
      <c r="D261" s="3" t="s">
        <v>43</v>
      </c>
      <c r="E261" s="3" t="s">
        <v>44</v>
      </c>
      <c r="F261" s="3" t="s">
        <v>679</v>
      </c>
      <c r="G261" s="2" t="s">
        <v>126</v>
      </c>
      <c r="H261" s="2" t="s">
        <v>126</v>
      </c>
      <c r="I261" s="2" t="s">
        <v>431</v>
      </c>
      <c r="J261" s="2" t="s">
        <v>2456</v>
      </c>
      <c r="K261" s="2"/>
      <c r="L261" s="3"/>
      <c r="M261" s="3"/>
      <c r="N261" s="2" t="s">
        <v>2457</v>
      </c>
      <c r="O261" s="2"/>
      <c r="P261" s="2"/>
      <c r="Q261" s="2" t="s">
        <v>2458</v>
      </c>
      <c r="R261" s="2"/>
      <c r="S261" s="4" t="s">
        <v>2459</v>
      </c>
      <c r="T261" s="2"/>
      <c r="U261" s="2"/>
      <c r="V261" s="2"/>
      <c r="W261" s="2"/>
      <c r="X261" s="5"/>
      <c r="Y261" s="2"/>
      <c r="Z261" s="5"/>
      <c r="AA261" s="2">
        <v>155</v>
      </c>
      <c r="AB261" s="2"/>
      <c r="AC261" s="5"/>
      <c r="AD261" s="5" t="s">
        <v>2460</v>
      </c>
      <c r="AE261" s="3"/>
      <c r="AF261" s="6"/>
      <c r="AG261" s="7"/>
      <c r="AH261" s="2">
        <v>0</v>
      </c>
      <c r="AI261" s="7"/>
      <c r="AJ261" s="3"/>
      <c r="AK261" s="8"/>
      <c r="AL261" s="2" t="str">
        <f t="shared" si="4"/>
        <v/>
      </c>
      <c r="AM261" s="2"/>
      <c r="AN261" s="2" t="s">
        <v>2461</v>
      </c>
      <c r="AO261" s="2" t="s">
        <v>2462</v>
      </c>
      <c r="AP261" s="2"/>
    </row>
    <row r="262" spans="1:42" ht="50" x14ac:dyDescent="0.35">
      <c r="A262" s="2">
        <v>261</v>
      </c>
      <c r="B262" s="2" t="s">
        <v>2180</v>
      </c>
      <c r="C262" s="2">
        <v>2.1</v>
      </c>
      <c r="D262" s="3" t="s">
        <v>43</v>
      </c>
      <c r="E262" s="3" t="s">
        <v>44</v>
      </c>
      <c r="F262" s="3" t="s">
        <v>679</v>
      </c>
      <c r="G262" s="2" t="s">
        <v>107</v>
      </c>
      <c r="H262" s="2" t="s">
        <v>107</v>
      </c>
      <c r="I262" s="2" t="s">
        <v>2463</v>
      </c>
      <c r="J262" s="2" t="s">
        <v>2464</v>
      </c>
      <c r="K262" s="2"/>
      <c r="L262" s="3"/>
      <c r="M262" s="3"/>
      <c r="N262" s="2" t="s">
        <v>2465</v>
      </c>
      <c r="O262" s="2"/>
      <c r="P262" s="2"/>
      <c r="Q262" s="2" t="s">
        <v>2466</v>
      </c>
      <c r="R262" s="2"/>
      <c r="S262" s="2"/>
      <c r="T262" s="2"/>
      <c r="U262" s="2">
        <v>4.7</v>
      </c>
      <c r="V262" s="2">
        <v>11</v>
      </c>
      <c r="W262" s="2"/>
      <c r="X262" s="5" t="s">
        <v>319</v>
      </c>
      <c r="Y262" s="2" t="s">
        <v>66</v>
      </c>
      <c r="Z262" s="5" t="s">
        <v>1935</v>
      </c>
      <c r="AA262" s="2">
        <v>155</v>
      </c>
      <c r="AB262" s="2"/>
      <c r="AC262" s="5" t="s">
        <v>2467</v>
      </c>
      <c r="AD262" s="5" t="s">
        <v>2468</v>
      </c>
      <c r="AE262" s="3"/>
      <c r="AF262" s="6"/>
      <c r="AG262" s="7"/>
      <c r="AH262" s="2">
        <v>0</v>
      </c>
      <c r="AI262" s="7"/>
      <c r="AJ262" s="3"/>
      <c r="AK262" s="8"/>
      <c r="AL262" s="2" t="str">
        <f t="shared" si="4"/>
        <v/>
      </c>
      <c r="AM262" s="2" t="s">
        <v>1042</v>
      </c>
      <c r="AN262" s="2" t="s">
        <v>2469</v>
      </c>
      <c r="AO262" s="2" t="s">
        <v>2470</v>
      </c>
      <c r="AP262" s="2"/>
    </row>
    <row r="263" spans="1:42" ht="50" x14ac:dyDescent="0.35">
      <c r="A263" s="2">
        <v>262</v>
      </c>
      <c r="B263" s="2" t="s">
        <v>2180</v>
      </c>
      <c r="C263" s="2">
        <v>2</v>
      </c>
      <c r="D263" s="3" t="s">
        <v>43</v>
      </c>
      <c r="E263" s="3" t="s">
        <v>44</v>
      </c>
      <c r="F263" s="3" t="s">
        <v>679</v>
      </c>
      <c r="G263" s="2" t="s">
        <v>46</v>
      </c>
      <c r="H263" s="2" t="s">
        <v>1377</v>
      </c>
      <c r="I263" s="2" t="s">
        <v>2471</v>
      </c>
      <c r="J263" s="2" t="s">
        <v>2472</v>
      </c>
      <c r="K263" s="2"/>
      <c r="L263" s="3"/>
      <c r="M263" s="3"/>
      <c r="N263" s="2" t="s">
        <v>2473</v>
      </c>
      <c r="O263" s="2"/>
      <c r="P263" s="2"/>
      <c r="Q263" s="2"/>
      <c r="R263" s="2"/>
      <c r="S263" s="2"/>
      <c r="T263" s="2"/>
      <c r="U263" s="2">
        <v>4.5</v>
      </c>
      <c r="V263" s="2">
        <v>6</v>
      </c>
      <c r="W263" s="2"/>
      <c r="X263" s="5"/>
      <c r="Y263" s="2"/>
      <c r="Z263" s="5"/>
      <c r="AA263" s="2"/>
      <c r="AB263" s="2"/>
      <c r="AC263" s="5"/>
      <c r="AD263" s="5" t="s">
        <v>2474</v>
      </c>
      <c r="AE263" s="3"/>
      <c r="AF263" s="6"/>
      <c r="AG263" s="7"/>
      <c r="AH263" s="2">
        <v>0</v>
      </c>
      <c r="AI263" s="7"/>
      <c r="AJ263" s="3"/>
      <c r="AK263" s="8"/>
      <c r="AL263" s="2" t="str">
        <f t="shared" si="4"/>
        <v/>
      </c>
      <c r="AM263" s="2"/>
      <c r="AN263" s="2" t="s">
        <v>2475</v>
      </c>
      <c r="AO263" s="2" t="s">
        <v>2476</v>
      </c>
      <c r="AP263" s="2"/>
    </row>
    <row r="264" spans="1:42" ht="62.5" x14ac:dyDescent="0.35">
      <c r="A264" s="2">
        <v>263</v>
      </c>
      <c r="B264" s="2" t="s">
        <v>2180</v>
      </c>
      <c r="C264" s="2">
        <v>2</v>
      </c>
      <c r="D264" s="3" t="s">
        <v>43</v>
      </c>
      <c r="E264" s="3" t="s">
        <v>44</v>
      </c>
      <c r="F264" s="3" t="s">
        <v>679</v>
      </c>
      <c r="G264" s="2" t="s">
        <v>126</v>
      </c>
      <c r="H264" s="2" t="s">
        <v>2477</v>
      </c>
      <c r="I264" s="2"/>
      <c r="J264" s="2" t="s">
        <v>2478</v>
      </c>
      <c r="K264" s="2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5"/>
      <c r="Y264" s="2"/>
      <c r="Z264" s="5"/>
      <c r="AA264" s="2">
        <v>113</v>
      </c>
      <c r="AB264" s="2"/>
      <c r="AC264" s="5"/>
      <c r="AD264" s="5" t="s">
        <v>2479</v>
      </c>
      <c r="AE264" s="3"/>
      <c r="AF264" s="6"/>
      <c r="AG264" s="7"/>
      <c r="AH264" s="2">
        <v>0</v>
      </c>
      <c r="AI264" s="7"/>
      <c r="AJ264" s="3"/>
      <c r="AK264" s="8"/>
      <c r="AL264" s="2" t="str">
        <f t="shared" si="4"/>
        <v/>
      </c>
      <c r="AM264" s="2"/>
      <c r="AN264" s="2"/>
      <c r="AO264" s="2" t="s">
        <v>2480</v>
      </c>
      <c r="AP264" s="2"/>
    </row>
    <row r="265" spans="1:42" ht="25" x14ac:dyDescent="0.35">
      <c r="A265" s="2">
        <v>264</v>
      </c>
      <c r="B265" s="2" t="s">
        <v>2180</v>
      </c>
      <c r="C265" s="2">
        <v>2</v>
      </c>
      <c r="D265" s="3" t="s">
        <v>43</v>
      </c>
      <c r="E265" s="3" t="s">
        <v>44</v>
      </c>
      <c r="F265" s="3" t="s">
        <v>679</v>
      </c>
      <c r="G265" s="2" t="s">
        <v>126</v>
      </c>
      <c r="H265" s="2" t="s">
        <v>1506</v>
      </c>
      <c r="I265" s="2" t="s">
        <v>2481</v>
      </c>
      <c r="J265" s="2" t="s">
        <v>2482</v>
      </c>
      <c r="K265" s="2"/>
      <c r="L265" s="3"/>
      <c r="M265" s="3"/>
      <c r="N265" s="2" t="s">
        <v>2483</v>
      </c>
      <c r="O265" s="2"/>
      <c r="P265" s="2"/>
      <c r="Q265" s="2"/>
      <c r="R265" s="2"/>
      <c r="S265" s="2"/>
      <c r="T265" s="2"/>
      <c r="U265" s="2"/>
      <c r="V265" s="2"/>
      <c r="W265" s="2"/>
      <c r="X265" s="5"/>
      <c r="Y265" s="2"/>
      <c r="Z265" s="5"/>
      <c r="AA265" s="2">
        <v>121</v>
      </c>
      <c r="AB265" s="2"/>
      <c r="AC265" s="5"/>
      <c r="AD265" s="5" t="s">
        <v>2484</v>
      </c>
      <c r="AE265" s="3"/>
      <c r="AF265" s="6"/>
      <c r="AG265" s="7"/>
      <c r="AH265" s="2">
        <v>0</v>
      </c>
      <c r="AI265" s="7"/>
      <c r="AJ265" s="3"/>
      <c r="AK265" s="8"/>
      <c r="AL265" s="2" t="str">
        <f t="shared" si="4"/>
        <v/>
      </c>
      <c r="AM265" s="2"/>
      <c r="AN265" s="2" t="s">
        <v>2485</v>
      </c>
      <c r="AO265" s="2" t="s">
        <v>2486</v>
      </c>
      <c r="AP265" s="2"/>
    </row>
    <row r="266" spans="1:42" x14ac:dyDescent="0.35">
      <c r="A266" s="2">
        <v>265</v>
      </c>
      <c r="B266" s="2" t="s">
        <v>2180</v>
      </c>
      <c r="C266" s="2">
        <v>2</v>
      </c>
      <c r="D266" s="3" t="s">
        <v>43</v>
      </c>
      <c r="E266" s="3" t="s">
        <v>44</v>
      </c>
      <c r="F266" s="3" t="s">
        <v>679</v>
      </c>
      <c r="G266" s="2" t="s">
        <v>126</v>
      </c>
      <c r="H266" s="2" t="s">
        <v>541</v>
      </c>
      <c r="I266" s="2" t="s">
        <v>541</v>
      </c>
      <c r="J266" s="2" t="s">
        <v>2487</v>
      </c>
      <c r="K266" s="2"/>
      <c r="L266" s="3"/>
      <c r="M266" s="3"/>
      <c r="N266" s="2" t="s">
        <v>2488</v>
      </c>
      <c r="O266" s="2"/>
      <c r="P266" s="2"/>
      <c r="Q266" s="2"/>
      <c r="R266" s="2"/>
      <c r="S266" s="4" t="s">
        <v>2489</v>
      </c>
      <c r="T266" s="2"/>
      <c r="U266" s="2"/>
      <c r="V266" s="2"/>
      <c r="W266" s="2"/>
      <c r="X266" s="5"/>
      <c r="Y266" s="2"/>
      <c r="Z266" s="5"/>
      <c r="AA266" s="2">
        <v>122</v>
      </c>
      <c r="AB266" s="2"/>
      <c r="AC266" s="5"/>
      <c r="AD266" s="5" t="s">
        <v>2490</v>
      </c>
      <c r="AE266" s="3"/>
      <c r="AF266" s="6"/>
      <c r="AG266" s="7"/>
      <c r="AH266" s="2">
        <v>0</v>
      </c>
      <c r="AI266" s="7"/>
      <c r="AJ266" s="3"/>
      <c r="AK266" s="8"/>
      <c r="AL266" s="2" t="str">
        <f t="shared" si="4"/>
        <v/>
      </c>
      <c r="AM266" s="2"/>
      <c r="AN266" s="2" t="s">
        <v>2491</v>
      </c>
      <c r="AO266" s="2" t="s">
        <v>2492</v>
      </c>
      <c r="AP266" s="2"/>
    </row>
    <row r="267" spans="1:42" ht="75" x14ac:dyDescent="0.35">
      <c r="A267" s="2">
        <v>266</v>
      </c>
      <c r="B267" s="2" t="s">
        <v>2180</v>
      </c>
      <c r="C267" s="2">
        <v>2</v>
      </c>
      <c r="D267" s="3" t="s">
        <v>43</v>
      </c>
      <c r="E267" s="3" t="s">
        <v>44</v>
      </c>
      <c r="F267" s="3" t="s">
        <v>679</v>
      </c>
      <c r="G267" s="2" t="s">
        <v>74</v>
      </c>
      <c r="H267" s="2" t="s">
        <v>294</v>
      </c>
      <c r="I267" s="2" t="s">
        <v>294</v>
      </c>
      <c r="J267" s="2" t="s">
        <v>2493</v>
      </c>
      <c r="K267" s="2"/>
      <c r="L267" s="3"/>
      <c r="M267" s="3"/>
      <c r="N267" s="2" t="s">
        <v>2494</v>
      </c>
      <c r="O267" s="2"/>
      <c r="P267" s="2"/>
      <c r="Q267" s="2"/>
      <c r="R267" s="2"/>
      <c r="S267" s="2"/>
      <c r="T267" s="2"/>
      <c r="U267" s="2"/>
      <c r="V267" s="2"/>
      <c r="W267" s="2"/>
      <c r="X267" s="5"/>
      <c r="Y267" s="2"/>
      <c r="Z267" s="5"/>
      <c r="AA267" s="2"/>
      <c r="AB267" s="2"/>
      <c r="AC267" s="5"/>
      <c r="AD267" s="5" t="s">
        <v>2495</v>
      </c>
      <c r="AE267" s="3"/>
      <c r="AF267" s="6"/>
      <c r="AG267" s="7"/>
      <c r="AH267" s="2">
        <v>0</v>
      </c>
      <c r="AI267" s="7"/>
      <c r="AJ267" s="3"/>
      <c r="AK267" s="8"/>
      <c r="AL267" s="2" t="str">
        <f t="shared" si="4"/>
        <v/>
      </c>
      <c r="AM267" s="2"/>
      <c r="AN267" s="2" t="s">
        <v>2496</v>
      </c>
      <c r="AO267" s="2" t="s">
        <v>2497</v>
      </c>
      <c r="AP267" s="2"/>
    </row>
    <row r="268" spans="1:42" ht="100" x14ac:dyDescent="0.35">
      <c r="A268" s="2">
        <v>267</v>
      </c>
      <c r="B268" s="2" t="s">
        <v>2180</v>
      </c>
      <c r="C268" s="2">
        <v>2</v>
      </c>
      <c r="D268" s="3" t="s">
        <v>43</v>
      </c>
      <c r="E268" s="3" t="s">
        <v>44</v>
      </c>
      <c r="F268" s="3" t="s">
        <v>679</v>
      </c>
      <c r="G268" s="2" t="s">
        <v>207</v>
      </c>
      <c r="H268" s="2" t="s">
        <v>1076</v>
      </c>
      <c r="I268" s="2" t="s">
        <v>1076</v>
      </c>
      <c r="J268" s="2" t="s">
        <v>2498</v>
      </c>
      <c r="K268" s="2"/>
      <c r="L268" s="3"/>
      <c r="M268" s="3"/>
      <c r="N268" s="2" t="s">
        <v>2499</v>
      </c>
      <c r="O268" s="2" t="s">
        <v>2500</v>
      </c>
      <c r="P268" s="2"/>
      <c r="Q268" s="2" t="s">
        <v>2501</v>
      </c>
      <c r="R268" s="2"/>
      <c r="S268" s="4" t="s">
        <v>2502</v>
      </c>
      <c r="T268" s="2"/>
      <c r="U268" s="2">
        <v>4.7</v>
      </c>
      <c r="V268" s="2">
        <v>12</v>
      </c>
      <c r="W268" s="2"/>
      <c r="X268" s="5" t="s">
        <v>1081</v>
      </c>
      <c r="Y268" s="2" t="s">
        <v>118</v>
      </c>
      <c r="Z268" s="5" t="s">
        <v>2503</v>
      </c>
      <c r="AA268" s="2">
        <v>242</v>
      </c>
      <c r="AB268" s="2"/>
      <c r="AC268" s="5" t="s">
        <v>2504</v>
      </c>
      <c r="AD268" s="5" t="s">
        <v>2505</v>
      </c>
      <c r="AE268" s="3"/>
      <c r="AF268" s="6"/>
      <c r="AG268" s="7"/>
      <c r="AH268" s="2">
        <v>0</v>
      </c>
      <c r="AI268" s="7"/>
      <c r="AJ268" s="3"/>
      <c r="AK268" s="8"/>
      <c r="AL268" s="2" t="str">
        <f t="shared" si="4"/>
        <v>Abrir WhatsApp</v>
      </c>
      <c r="AM268" s="2" t="s">
        <v>1197</v>
      </c>
      <c r="AN268" s="2" t="s">
        <v>2506</v>
      </c>
      <c r="AO268" s="2" t="s">
        <v>2507</v>
      </c>
      <c r="AP268" s="2"/>
    </row>
    <row r="269" spans="1:42" ht="37.5" x14ac:dyDescent="0.35">
      <c r="A269" s="2">
        <v>268</v>
      </c>
      <c r="B269" s="2" t="s">
        <v>2180</v>
      </c>
      <c r="C269" s="2">
        <v>1.8</v>
      </c>
      <c r="D269" s="3" t="s">
        <v>43</v>
      </c>
      <c r="E269" s="3" t="s">
        <v>44</v>
      </c>
      <c r="F269" s="3" t="s">
        <v>679</v>
      </c>
      <c r="G269" s="2" t="s">
        <v>107</v>
      </c>
      <c r="H269" s="2" t="s">
        <v>1955</v>
      </c>
      <c r="I269" s="2" t="s">
        <v>1955</v>
      </c>
      <c r="J269" s="2" t="s">
        <v>2508</v>
      </c>
      <c r="K269" s="2"/>
      <c r="L269" s="3"/>
      <c r="M269" s="3"/>
      <c r="N269" s="2" t="s">
        <v>2509</v>
      </c>
      <c r="O269" s="2" t="s">
        <v>2510</v>
      </c>
      <c r="P269" s="2"/>
      <c r="Q269" s="2"/>
      <c r="R269" s="2"/>
      <c r="S269" s="2"/>
      <c r="T269" s="2"/>
      <c r="U269" s="2">
        <v>4.5</v>
      </c>
      <c r="V269" s="2">
        <v>4</v>
      </c>
      <c r="W269" s="2"/>
      <c r="X269" s="5"/>
      <c r="Y269" s="2" t="s">
        <v>66</v>
      </c>
      <c r="Z269" s="5" t="s">
        <v>1174</v>
      </c>
      <c r="AA269" s="2">
        <v>192</v>
      </c>
      <c r="AB269" s="2"/>
      <c r="AC269" s="5"/>
      <c r="AD269" s="5" t="s">
        <v>2511</v>
      </c>
      <c r="AE269" s="3"/>
      <c r="AF269" s="6"/>
      <c r="AG269" s="7"/>
      <c r="AH269" s="2">
        <v>0</v>
      </c>
      <c r="AI269" s="7"/>
      <c r="AJ269" s="3"/>
      <c r="AK269" s="8"/>
      <c r="AL269" s="2" t="str">
        <f t="shared" si="4"/>
        <v>Abrir WhatsApp</v>
      </c>
      <c r="AM269" s="2" t="s">
        <v>1042</v>
      </c>
      <c r="AN269" s="2" t="s">
        <v>2512</v>
      </c>
      <c r="AO269" s="2" t="s">
        <v>2513</v>
      </c>
      <c r="AP269" s="2"/>
    </row>
    <row r="270" spans="1:42" ht="37.5" x14ac:dyDescent="0.35">
      <c r="A270" s="2">
        <v>269</v>
      </c>
      <c r="B270" s="2" t="s">
        <v>2180</v>
      </c>
      <c r="C270" s="2">
        <v>1.7</v>
      </c>
      <c r="D270" s="3" t="s">
        <v>43</v>
      </c>
      <c r="E270" s="3" t="s">
        <v>44</v>
      </c>
      <c r="F270" s="3" t="s">
        <v>679</v>
      </c>
      <c r="G270" s="2" t="s">
        <v>126</v>
      </c>
      <c r="H270" s="2" t="s">
        <v>1283</v>
      </c>
      <c r="I270" s="2" t="s">
        <v>2514</v>
      </c>
      <c r="J270" s="2" t="s">
        <v>2515</v>
      </c>
      <c r="K270" s="2"/>
      <c r="L270" s="3"/>
      <c r="M270" s="3"/>
      <c r="N270" s="2" t="s">
        <v>2516</v>
      </c>
      <c r="O270" s="2"/>
      <c r="P270" s="2"/>
      <c r="Q270" s="2"/>
      <c r="R270" s="2"/>
      <c r="S270" s="2"/>
      <c r="T270" s="2"/>
      <c r="U270" s="2"/>
      <c r="V270" s="2"/>
      <c r="W270" s="2"/>
      <c r="X270" s="5"/>
      <c r="Y270" s="2"/>
      <c r="Z270" s="5"/>
      <c r="AA270" s="2">
        <v>46</v>
      </c>
      <c r="AB270" s="2"/>
      <c r="AC270" s="5"/>
      <c r="AD270" s="5" t="s">
        <v>2517</v>
      </c>
      <c r="AE270" s="3"/>
      <c r="AF270" s="6"/>
      <c r="AG270" s="7"/>
      <c r="AH270" s="2">
        <v>0</v>
      </c>
      <c r="AI270" s="7"/>
      <c r="AJ270" s="3"/>
      <c r="AK270" s="8"/>
      <c r="AL270" s="2" t="str">
        <f t="shared" si="4"/>
        <v/>
      </c>
      <c r="AM270" s="2"/>
      <c r="AN270" s="2" t="s">
        <v>2518</v>
      </c>
      <c r="AO270" s="2" t="s">
        <v>2519</v>
      </c>
      <c r="AP270" s="2"/>
    </row>
    <row r="271" spans="1:42" ht="37.5" x14ac:dyDescent="0.35">
      <c r="A271" s="2">
        <v>270</v>
      </c>
      <c r="B271" s="2" t="s">
        <v>2180</v>
      </c>
      <c r="C271" s="2">
        <v>1.7</v>
      </c>
      <c r="D271" s="3" t="s">
        <v>43</v>
      </c>
      <c r="E271" s="3" t="s">
        <v>44</v>
      </c>
      <c r="F271" s="3" t="s">
        <v>679</v>
      </c>
      <c r="G271" s="2" t="s">
        <v>107</v>
      </c>
      <c r="H271" s="2" t="s">
        <v>107</v>
      </c>
      <c r="I271" s="2" t="s">
        <v>2520</v>
      </c>
      <c r="J271" s="2" t="s">
        <v>2521</v>
      </c>
      <c r="K271" s="2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5"/>
      <c r="Y271" s="2"/>
      <c r="Z271" s="5"/>
      <c r="AA271" s="2">
        <v>171</v>
      </c>
      <c r="AB271" s="2"/>
      <c r="AC271" s="5"/>
      <c r="AD271" s="5" t="s">
        <v>2522</v>
      </c>
      <c r="AE271" s="3"/>
      <c r="AF271" s="6"/>
      <c r="AG271" s="7"/>
      <c r="AH271" s="2">
        <v>0</v>
      </c>
      <c r="AI271" s="7"/>
      <c r="AJ271" s="3"/>
      <c r="AK271" s="8"/>
      <c r="AL271" s="2" t="str">
        <f t="shared" si="4"/>
        <v/>
      </c>
      <c r="AM271" s="2" t="s">
        <v>462</v>
      </c>
      <c r="AN271" s="2" t="s">
        <v>2523</v>
      </c>
      <c r="AO271" s="2" t="s">
        <v>2524</v>
      </c>
      <c r="AP271" s="2"/>
    </row>
    <row r="272" spans="1:42" ht="37.5" x14ac:dyDescent="0.35">
      <c r="A272" s="2">
        <v>271</v>
      </c>
      <c r="B272" s="2" t="s">
        <v>2180</v>
      </c>
      <c r="C272" s="2">
        <v>1.7</v>
      </c>
      <c r="D272" s="3" t="s">
        <v>43</v>
      </c>
      <c r="E272" s="3" t="s">
        <v>44</v>
      </c>
      <c r="F272" s="3" t="s">
        <v>679</v>
      </c>
      <c r="G272" s="2" t="s">
        <v>207</v>
      </c>
      <c r="H272" s="2" t="s">
        <v>1941</v>
      </c>
      <c r="I272" s="2" t="s">
        <v>1941</v>
      </c>
      <c r="J272" s="2" t="s">
        <v>2525</v>
      </c>
      <c r="K272" s="2"/>
      <c r="L272" s="3"/>
      <c r="M272" s="3"/>
      <c r="N272" s="2" t="s">
        <v>2526</v>
      </c>
      <c r="O272" s="2"/>
      <c r="P272" s="2"/>
      <c r="Q272" s="2"/>
      <c r="R272" s="2"/>
      <c r="S272" s="4" t="s">
        <v>2527</v>
      </c>
      <c r="T272" s="2"/>
      <c r="U272" s="2"/>
      <c r="V272" s="2"/>
      <c r="W272" s="2"/>
      <c r="X272" s="5"/>
      <c r="Y272" s="2"/>
      <c r="Z272" s="5"/>
      <c r="AA272" s="2">
        <v>296</v>
      </c>
      <c r="AB272" s="2"/>
      <c r="AC272" s="5"/>
      <c r="AD272" s="5" t="s">
        <v>2528</v>
      </c>
      <c r="AE272" s="3"/>
      <c r="AF272" s="6"/>
      <c r="AG272" s="7"/>
      <c r="AH272" s="2">
        <v>0</v>
      </c>
      <c r="AI272" s="7"/>
      <c r="AJ272" s="3"/>
      <c r="AK272" s="8"/>
      <c r="AL272" s="2" t="str">
        <f t="shared" si="4"/>
        <v/>
      </c>
      <c r="AM272" s="2" t="s">
        <v>1197</v>
      </c>
      <c r="AN272" s="2" t="s">
        <v>2529</v>
      </c>
      <c r="AO272" s="2" t="s">
        <v>2530</v>
      </c>
      <c r="AP272" s="2"/>
    </row>
    <row r="273" spans="1:42" ht="37.5" x14ac:dyDescent="0.35">
      <c r="A273" s="2">
        <v>272</v>
      </c>
      <c r="B273" s="2" t="s">
        <v>2180</v>
      </c>
      <c r="C273" s="2">
        <v>1.7</v>
      </c>
      <c r="D273" s="3" t="s">
        <v>43</v>
      </c>
      <c r="E273" s="3" t="s">
        <v>44</v>
      </c>
      <c r="F273" s="3" t="s">
        <v>679</v>
      </c>
      <c r="G273" s="2" t="s">
        <v>207</v>
      </c>
      <c r="H273" s="2" t="s">
        <v>207</v>
      </c>
      <c r="I273" s="2" t="s">
        <v>1963</v>
      </c>
      <c r="J273" s="2" t="s">
        <v>2531</v>
      </c>
      <c r="K273" s="2"/>
      <c r="L273" s="3"/>
      <c r="M273" s="3"/>
      <c r="N273" s="2" t="s">
        <v>2532</v>
      </c>
      <c r="O273" s="2"/>
      <c r="P273" s="2"/>
      <c r="Q273" s="2"/>
      <c r="R273" s="2"/>
      <c r="S273" s="2"/>
      <c r="T273" s="2"/>
      <c r="U273" s="2">
        <v>4.5</v>
      </c>
      <c r="V273" s="2">
        <v>11</v>
      </c>
      <c r="W273" s="2"/>
      <c r="X273" s="5" t="s">
        <v>213</v>
      </c>
      <c r="Y273" s="2" t="s">
        <v>118</v>
      </c>
      <c r="Z273" s="5" t="s">
        <v>2533</v>
      </c>
      <c r="AA273" s="2">
        <v>182</v>
      </c>
      <c r="AB273" s="2"/>
      <c r="AC273" s="5" t="s">
        <v>2534</v>
      </c>
      <c r="AD273" s="5" t="s">
        <v>2535</v>
      </c>
      <c r="AE273" s="3"/>
      <c r="AF273" s="6"/>
      <c r="AG273" s="7"/>
      <c r="AH273" s="2">
        <v>0</v>
      </c>
      <c r="AI273" s="7"/>
      <c r="AJ273" s="3"/>
      <c r="AK273" s="8"/>
      <c r="AL273" s="2" t="str">
        <f t="shared" si="4"/>
        <v/>
      </c>
      <c r="AM273" s="2"/>
      <c r="AN273" s="2" t="s">
        <v>2536</v>
      </c>
      <c r="AO273" s="2" t="s">
        <v>2537</v>
      </c>
      <c r="AP273" s="2"/>
    </row>
    <row r="274" spans="1:42" ht="37.5" x14ac:dyDescent="0.35">
      <c r="A274" s="2">
        <v>273</v>
      </c>
      <c r="B274" s="2" t="s">
        <v>2180</v>
      </c>
      <c r="C274" s="2">
        <v>1.6</v>
      </c>
      <c r="D274" s="3" t="s">
        <v>43</v>
      </c>
      <c r="E274" s="3" t="s">
        <v>44</v>
      </c>
      <c r="F274" s="3" t="s">
        <v>679</v>
      </c>
      <c r="G274" s="2" t="s">
        <v>126</v>
      </c>
      <c r="H274" s="2" t="s">
        <v>790</v>
      </c>
      <c r="I274" s="2" t="s">
        <v>2538</v>
      </c>
      <c r="J274" s="2" t="s">
        <v>2539</v>
      </c>
      <c r="K274" s="2"/>
      <c r="L274" s="3"/>
      <c r="M274" s="3"/>
      <c r="N274" s="2" t="s">
        <v>2540</v>
      </c>
      <c r="O274" s="2"/>
      <c r="P274" s="2"/>
      <c r="Q274" s="2"/>
      <c r="R274" s="2"/>
      <c r="S274" s="4" t="s">
        <v>2541</v>
      </c>
      <c r="T274" s="2"/>
      <c r="U274" s="2"/>
      <c r="V274" s="2"/>
      <c r="W274" s="2"/>
      <c r="X274" s="5"/>
      <c r="Y274" s="2" t="s">
        <v>66</v>
      </c>
      <c r="Z274" s="5" t="s">
        <v>2542</v>
      </c>
      <c r="AA274" s="2">
        <v>22</v>
      </c>
      <c r="AB274" s="2" t="s">
        <v>2543</v>
      </c>
      <c r="AC274" s="5"/>
      <c r="AD274" s="5" t="s">
        <v>2544</v>
      </c>
      <c r="AE274" s="3"/>
      <c r="AF274" s="6"/>
      <c r="AG274" s="7"/>
      <c r="AH274" s="2">
        <v>0</v>
      </c>
      <c r="AI274" s="7"/>
      <c r="AJ274" s="3"/>
      <c r="AK274" s="8"/>
      <c r="AL274" s="2" t="str">
        <f t="shared" si="4"/>
        <v/>
      </c>
      <c r="AM274" s="2"/>
      <c r="AN274" s="2" t="s">
        <v>2545</v>
      </c>
      <c r="AO274" s="2" t="s">
        <v>2546</v>
      </c>
      <c r="AP274" s="2"/>
    </row>
    <row r="275" spans="1:42" ht="25" x14ac:dyDescent="0.35">
      <c r="A275" s="2">
        <v>274</v>
      </c>
      <c r="B275" s="2" t="s">
        <v>2180</v>
      </c>
      <c r="C275" s="2">
        <v>1.6</v>
      </c>
      <c r="D275" s="3" t="s">
        <v>43</v>
      </c>
      <c r="E275" s="3" t="s">
        <v>44</v>
      </c>
      <c r="F275" s="3" t="s">
        <v>679</v>
      </c>
      <c r="G275" s="2" t="s">
        <v>107</v>
      </c>
      <c r="H275" s="2" t="s">
        <v>480</v>
      </c>
      <c r="I275" s="2" t="s">
        <v>2547</v>
      </c>
      <c r="J275" s="2" t="s">
        <v>2548</v>
      </c>
      <c r="K275" s="2"/>
      <c r="L275" s="3"/>
      <c r="M275" s="3"/>
      <c r="N275" s="2" t="s">
        <v>2549</v>
      </c>
      <c r="O275" s="2"/>
      <c r="P275" s="2"/>
      <c r="Q275" s="2"/>
      <c r="R275" s="2"/>
      <c r="S275" s="2"/>
      <c r="T275" s="2"/>
      <c r="U275" s="2"/>
      <c r="V275" s="2"/>
      <c r="W275" s="2"/>
      <c r="X275" s="5"/>
      <c r="Y275" s="2"/>
      <c r="Z275" s="5"/>
      <c r="AA275" s="2">
        <v>141</v>
      </c>
      <c r="AB275" s="2"/>
      <c r="AC275" s="5"/>
      <c r="AD275" s="5" t="s">
        <v>2550</v>
      </c>
      <c r="AE275" s="3"/>
      <c r="AF275" s="6"/>
      <c r="AG275" s="7"/>
      <c r="AH275" s="2">
        <v>0</v>
      </c>
      <c r="AI275" s="7"/>
      <c r="AJ275" s="3"/>
      <c r="AK275" s="8"/>
      <c r="AL275" s="2" t="str">
        <f t="shared" si="4"/>
        <v/>
      </c>
      <c r="AM275" s="2" t="s">
        <v>1042</v>
      </c>
      <c r="AN275" s="2" t="s">
        <v>2551</v>
      </c>
      <c r="AO275" s="2" t="s">
        <v>2552</v>
      </c>
      <c r="AP275" s="2"/>
    </row>
    <row r="276" spans="1:42" ht="62.5" x14ac:dyDescent="0.35">
      <c r="A276" s="2">
        <v>275</v>
      </c>
      <c r="B276" s="2" t="s">
        <v>2180</v>
      </c>
      <c r="C276" s="2">
        <v>1.6</v>
      </c>
      <c r="D276" s="3" t="s">
        <v>43</v>
      </c>
      <c r="E276" s="3" t="s">
        <v>44</v>
      </c>
      <c r="F276" s="3" t="s">
        <v>679</v>
      </c>
      <c r="G276" s="2" t="s">
        <v>207</v>
      </c>
      <c r="H276" s="2" t="s">
        <v>2553</v>
      </c>
      <c r="I276" s="2" t="s">
        <v>2553</v>
      </c>
      <c r="J276" s="2" t="s">
        <v>2554</v>
      </c>
      <c r="K276" s="2"/>
      <c r="L276" s="3"/>
      <c r="M276" s="3"/>
      <c r="N276" s="2" t="s">
        <v>2555</v>
      </c>
      <c r="O276" s="2" t="s">
        <v>2556</v>
      </c>
      <c r="P276" s="2"/>
      <c r="Q276" s="2" t="s">
        <v>2557</v>
      </c>
      <c r="R276" s="2"/>
      <c r="S276" s="4" t="s">
        <v>2558</v>
      </c>
      <c r="T276" s="2"/>
      <c r="U276" s="2">
        <v>4.4000000000000004</v>
      </c>
      <c r="V276" s="2">
        <v>10</v>
      </c>
      <c r="W276" s="2"/>
      <c r="X276" s="5"/>
      <c r="Y276" s="2" t="s">
        <v>66</v>
      </c>
      <c r="Z276" s="5" t="s">
        <v>2559</v>
      </c>
      <c r="AA276" s="2">
        <v>143</v>
      </c>
      <c r="AB276" s="2"/>
      <c r="AC276" s="5" t="s">
        <v>2560</v>
      </c>
      <c r="AD276" s="5" t="s">
        <v>2561</v>
      </c>
      <c r="AE276" s="3"/>
      <c r="AF276" s="6"/>
      <c r="AG276" s="7"/>
      <c r="AH276" s="2">
        <v>0</v>
      </c>
      <c r="AI276" s="7"/>
      <c r="AJ276" s="3"/>
      <c r="AK276" s="8"/>
      <c r="AL276" s="2" t="str">
        <f t="shared" si="4"/>
        <v>Abrir WhatsApp</v>
      </c>
      <c r="AM276" s="2"/>
      <c r="AN276" s="2" t="s">
        <v>2562</v>
      </c>
      <c r="AO276" s="2" t="s">
        <v>2563</v>
      </c>
      <c r="AP276" s="2"/>
    </row>
    <row r="277" spans="1:42" ht="75" x14ac:dyDescent="0.35">
      <c r="A277" s="2">
        <v>276</v>
      </c>
      <c r="B277" s="2" t="s">
        <v>2180</v>
      </c>
      <c r="C277" s="2">
        <v>1.6</v>
      </c>
      <c r="D277" s="3" t="s">
        <v>43</v>
      </c>
      <c r="E277" s="3" t="s">
        <v>44</v>
      </c>
      <c r="F277" s="3" t="s">
        <v>679</v>
      </c>
      <c r="G277" s="2" t="s">
        <v>393</v>
      </c>
      <c r="H277" s="2" t="s">
        <v>1668</v>
      </c>
      <c r="I277" s="2" t="s">
        <v>2564</v>
      </c>
      <c r="J277" s="2" t="s">
        <v>2565</v>
      </c>
      <c r="K277" s="2"/>
      <c r="L277" s="3"/>
      <c r="M277" s="3"/>
      <c r="N277" s="2" t="s">
        <v>2566</v>
      </c>
      <c r="O277" s="2"/>
      <c r="P277" s="2"/>
      <c r="Q277" s="2"/>
      <c r="R277" s="2"/>
      <c r="S277" s="2"/>
      <c r="T277" s="2"/>
      <c r="U277" s="2">
        <v>3.7</v>
      </c>
      <c r="V277" s="2">
        <v>3</v>
      </c>
      <c r="W277" s="2"/>
      <c r="X277" s="5"/>
      <c r="Y277" s="2" t="s">
        <v>66</v>
      </c>
      <c r="Z277" s="5" t="s">
        <v>2567</v>
      </c>
      <c r="AA277" s="2">
        <v>152</v>
      </c>
      <c r="AB277" s="2"/>
      <c r="AC277" s="5"/>
      <c r="AD277" s="5" t="s">
        <v>2568</v>
      </c>
      <c r="AE277" s="3"/>
      <c r="AF277" s="6"/>
      <c r="AG277" s="7"/>
      <c r="AH277" s="2">
        <v>0</v>
      </c>
      <c r="AI277" s="7"/>
      <c r="AJ277" s="3"/>
      <c r="AK277" s="8"/>
      <c r="AL277" s="2" t="str">
        <f t="shared" si="4"/>
        <v/>
      </c>
      <c r="AM277" s="2"/>
      <c r="AN277" s="2" t="s">
        <v>2569</v>
      </c>
      <c r="AO277" s="2" t="s">
        <v>2570</v>
      </c>
      <c r="AP277" s="2"/>
    </row>
    <row r="278" spans="1:42" ht="62.5" x14ac:dyDescent="0.35">
      <c r="A278" s="2">
        <v>277</v>
      </c>
      <c r="B278" s="2" t="s">
        <v>2180</v>
      </c>
      <c r="C278" s="2">
        <v>1.5</v>
      </c>
      <c r="D278" s="3" t="s">
        <v>43</v>
      </c>
      <c r="E278" s="3" t="s">
        <v>44</v>
      </c>
      <c r="F278" s="3" t="s">
        <v>679</v>
      </c>
      <c r="G278" s="2" t="s">
        <v>126</v>
      </c>
      <c r="H278" s="2" t="s">
        <v>790</v>
      </c>
      <c r="I278" s="2" t="s">
        <v>2571</v>
      </c>
      <c r="J278" s="2" t="s">
        <v>2572</v>
      </c>
      <c r="K278" s="2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5"/>
      <c r="Y278" s="2"/>
      <c r="Z278" s="5"/>
      <c r="AA278" s="2"/>
      <c r="AB278" s="2"/>
      <c r="AC278" s="5"/>
      <c r="AD278" s="5" t="s">
        <v>2573</v>
      </c>
      <c r="AE278" s="3"/>
      <c r="AF278" s="6"/>
      <c r="AG278" s="7"/>
      <c r="AH278" s="2">
        <v>0</v>
      </c>
      <c r="AI278" s="7"/>
      <c r="AJ278" s="3"/>
      <c r="AK278" s="8"/>
      <c r="AL278" s="2" t="str">
        <f t="shared" si="4"/>
        <v/>
      </c>
      <c r="AM278" s="2"/>
      <c r="AN278" s="2" t="s">
        <v>2574</v>
      </c>
      <c r="AO278" s="2" t="s">
        <v>2575</v>
      </c>
      <c r="AP278" s="2"/>
    </row>
    <row r="279" spans="1:42" ht="25" x14ac:dyDescent="0.35">
      <c r="A279" s="2">
        <v>278</v>
      </c>
      <c r="B279" s="2" t="s">
        <v>2180</v>
      </c>
      <c r="C279" s="2">
        <v>1.5</v>
      </c>
      <c r="D279" s="3" t="s">
        <v>43</v>
      </c>
      <c r="E279" s="3" t="s">
        <v>44</v>
      </c>
      <c r="F279" s="3" t="s">
        <v>679</v>
      </c>
      <c r="G279" s="2" t="s">
        <v>126</v>
      </c>
      <c r="H279" s="2" t="s">
        <v>232</v>
      </c>
      <c r="I279" s="2" t="s">
        <v>1029</v>
      </c>
      <c r="J279" s="2" t="s">
        <v>2576</v>
      </c>
      <c r="K279" s="2"/>
      <c r="L279" s="3"/>
      <c r="M279" s="3"/>
      <c r="N279" s="2" t="s">
        <v>2577</v>
      </c>
      <c r="O279" s="2"/>
      <c r="P279" s="2"/>
      <c r="Q279" s="2"/>
      <c r="R279" s="2"/>
      <c r="S279" s="2"/>
      <c r="T279" s="2"/>
      <c r="U279" s="2"/>
      <c r="V279" s="2"/>
      <c r="W279" s="2"/>
      <c r="X279" s="5"/>
      <c r="Y279" s="2"/>
      <c r="Z279" s="5"/>
      <c r="AA279" s="2"/>
      <c r="AB279" s="2"/>
      <c r="AC279" s="5"/>
      <c r="AD279" s="5" t="s">
        <v>2578</v>
      </c>
      <c r="AE279" s="3"/>
      <c r="AF279" s="6"/>
      <c r="AG279" s="7"/>
      <c r="AH279" s="2">
        <v>0</v>
      </c>
      <c r="AI279" s="7"/>
      <c r="AJ279" s="3"/>
      <c r="AK279" s="8"/>
      <c r="AL279" s="2" t="str">
        <f t="shared" si="4"/>
        <v/>
      </c>
      <c r="AM279" s="2"/>
      <c r="AN279" s="2" t="s">
        <v>2579</v>
      </c>
      <c r="AO279" s="2" t="s">
        <v>2580</v>
      </c>
      <c r="AP279" s="2"/>
    </row>
    <row r="280" spans="1:42" ht="25" x14ac:dyDescent="0.35">
      <c r="A280" s="2">
        <v>279</v>
      </c>
      <c r="B280" s="2" t="s">
        <v>2180</v>
      </c>
      <c r="C280" s="2">
        <v>1.5</v>
      </c>
      <c r="D280" s="3" t="s">
        <v>43</v>
      </c>
      <c r="E280" s="3" t="s">
        <v>44</v>
      </c>
      <c r="F280" s="3" t="s">
        <v>679</v>
      </c>
      <c r="G280" s="2" t="s">
        <v>126</v>
      </c>
      <c r="H280" s="2" t="s">
        <v>232</v>
      </c>
      <c r="I280" s="2" t="s">
        <v>232</v>
      </c>
      <c r="J280" s="2" t="s">
        <v>2581</v>
      </c>
      <c r="K280" s="2"/>
      <c r="L280" s="3"/>
      <c r="M280" s="3"/>
      <c r="N280" s="2" t="s">
        <v>2582</v>
      </c>
      <c r="O280" s="2"/>
      <c r="P280" s="2"/>
      <c r="Q280" s="2"/>
      <c r="R280" s="2"/>
      <c r="S280" s="2"/>
      <c r="T280" s="2"/>
      <c r="U280" s="2"/>
      <c r="V280" s="2"/>
      <c r="W280" s="2"/>
      <c r="X280" s="5"/>
      <c r="Y280" s="2"/>
      <c r="Z280" s="5"/>
      <c r="AA280" s="2"/>
      <c r="AB280" s="2"/>
      <c r="AC280" s="5"/>
      <c r="AD280" s="5" t="s">
        <v>2583</v>
      </c>
      <c r="AE280" s="3"/>
      <c r="AF280" s="6"/>
      <c r="AG280" s="7"/>
      <c r="AH280" s="2">
        <v>0</v>
      </c>
      <c r="AI280" s="7"/>
      <c r="AJ280" s="3"/>
      <c r="AK280" s="8"/>
      <c r="AL280" s="2" t="str">
        <f t="shared" si="4"/>
        <v/>
      </c>
      <c r="AM280" s="2"/>
      <c r="AN280" s="2" t="s">
        <v>2584</v>
      </c>
      <c r="AO280" s="2" t="s">
        <v>2585</v>
      </c>
      <c r="AP280" s="2"/>
    </row>
    <row r="281" spans="1:42" ht="25" x14ac:dyDescent="0.35">
      <c r="A281" s="2">
        <v>280</v>
      </c>
      <c r="B281" s="2" t="s">
        <v>2180</v>
      </c>
      <c r="C281" s="2">
        <v>1.5</v>
      </c>
      <c r="D281" s="3" t="s">
        <v>43</v>
      </c>
      <c r="E281" s="3" t="s">
        <v>44</v>
      </c>
      <c r="F281" s="3" t="s">
        <v>679</v>
      </c>
      <c r="G281" s="2" t="s">
        <v>126</v>
      </c>
      <c r="H281" s="2" t="s">
        <v>2586</v>
      </c>
      <c r="I281" s="2" t="s">
        <v>2586</v>
      </c>
      <c r="J281" s="2" t="s">
        <v>2587</v>
      </c>
      <c r="K281" s="2"/>
      <c r="L281" s="3"/>
      <c r="M281" s="3"/>
      <c r="N281" s="2" t="s">
        <v>2588</v>
      </c>
      <c r="O281" s="2"/>
      <c r="P281" s="2"/>
      <c r="Q281" s="2"/>
      <c r="R281" s="2"/>
      <c r="S281" s="2"/>
      <c r="T281" s="2"/>
      <c r="U281" s="2"/>
      <c r="V281" s="2"/>
      <c r="W281" s="2"/>
      <c r="X281" s="5"/>
      <c r="Y281" s="2"/>
      <c r="Z281" s="5"/>
      <c r="AA281" s="2"/>
      <c r="AB281" s="2"/>
      <c r="AC281" s="5"/>
      <c r="AD281" s="5" t="s">
        <v>2589</v>
      </c>
      <c r="AE281" s="3"/>
      <c r="AF281" s="6"/>
      <c r="AG281" s="7"/>
      <c r="AH281" s="2">
        <v>0</v>
      </c>
      <c r="AI281" s="7"/>
      <c r="AJ281" s="3"/>
      <c r="AK281" s="8"/>
      <c r="AL281" s="2" t="str">
        <f t="shared" si="4"/>
        <v/>
      </c>
      <c r="AM281" s="2"/>
      <c r="AN281" s="2" t="s">
        <v>2590</v>
      </c>
      <c r="AO281" s="2" t="s">
        <v>2591</v>
      </c>
      <c r="AP281" s="2"/>
    </row>
    <row r="282" spans="1:42" x14ac:dyDescent="0.35">
      <c r="A282" s="2">
        <v>281</v>
      </c>
      <c r="B282" s="2" t="s">
        <v>2180</v>
      </c>
      <c r="C282" s="2">
        <v>1.5</v>
      </c>
      <c r="D282" s="3" t="s">
        <v>43</v>
      </c>
      <c r="E282" s="3" t="s">
        <v>44</v>
      </c>
      <c r="F282" s="3" t="s">
        <v>679</v>
      </c>
      <c r="G282" s="2" t="s">
        <v>126</v>
      </c>
      <c r="H282" s="2" t="s">
        <v>126</v>
      </c>
      <c r="I282" s="2" t="s">
        <v>2592</v>
      </c>
      <c r="J282" s="2" t="s">
        <v>2593</v>
      </c>
      <c r="K282" s="2"/>
      <c r="L282" s="3"/>
      <c r="M282" s="3"/>
      <c r="N282" s="2" t="s">
        <v>2594</v>
      </c>
      <c r="O282" s="2"/>
      <c r="P282" s="2"/>
      <c r="Q282" s="2"/>
      <c r="R282" s="2"/>
      <c r="S282" s="4" t="s">
        <v>2595</v>
      </c>
      <c r="T282" s="2"/>
      <c r="U282" s="2"/>
      <c r="V282" s="2"/>
      <c r="W282" s="2"/>
      <c r="X282" s="5"/>
      <c r="Y282" s="2"/>
      <c r="Z282" s="5"/>
      <c r="AA282" s="2"/>
      <c r="AB282" s="2"/>
      <c r="AC282" s="5"/>
      <c r="AD282" s="5" t="s">
        <v>2596</v>
      </c>
      <c r="AE282" s="3"/>
      <c r="AF282" s="6"/>
      <c r="AG282" s="7"/>
      <c r="AH282" s="2">
        <v>0</v>
      </c>
      <c r="AI282" s="7"/>
      <c r="AJ282" s="3"/>
      <c r="AK282" s="8"/>
      <c r="AL282" s="2" t="str">
        <f t="shared" si="4"/>
        <v/>
      </c>
      <c r="AM282" s="2"/>
      <c r="AN282" s="2" t="s">
        <v>2597</v>
      </c>
      <c r="AO282" s="2" t="s">
        <v>2598</v>
      </c>
      <c r="AP282" s="2"/>
    </row>
    <row r="283" spans="1:42" ht="25" x14ac:dyDescent="0.35">
      <c r="A283" s="2">
        <v>282</v>
      </c>
      <c r="B283" s="2" t="s">
        <v>2180</v>
      </c>
      <c r="C283" s="2">
        <v>1.5</v>
      </c>
      <c r="D283" s="3" t="s">
        <v>43</v>
      </c>
      <c r="E283" s="3" t="s">
        <v>44</v>
      </c>
      <c r="F283" s="3" t="s">
        <v>679</v>
      </c>
      <c r="G283" s="2" t="s">
        <v>126</v>
      </c>
      <c r="H283" s="2" t="s">
        <v>833</v>
      </c>
      <c r="I283" s="2" t="s">
        <v>833</v>
      </c>
      <c r="J283" s="2" t="s">
        <v>2599</v>
      </c>
      <c r="K283" s="2"/>
      <c r="L283" s="3"/>
      <c r="M283" s="3"/>
      <c r="N283" s="2" t="s">
        <v>2600</v>
      </c>
      <c r="O283" s="2"/>
      <c r="P283" s="2"/>
      <c r="Q283" s="2"/>
      <c r="R283" s="2"/>
      <c r="S283" s="2"/>
      <c r="T283" s="2"/>
      <c r="U283" s="2"/>
      <c r="V283" s="2"/>
      <c r="W283" s="2"/>
      <c r="X283" s="5"/>
      <c r="Y283" s="2"/>
      <c r="Z283" s="5"/>
      <c r="AA283" s="2"/>
      <c r="AB283" s="2"/>
      <c r="AC283" s="5"/>
      <c r="AD283" s="5" t="s">
        <v>2601</v>
      </c>
      <c r="AE283" s="3"/>
      <c r="AF283" s="6"/>
      <c r="AG283" s="7"/>
      <c r="AH283" s="2">
        <v>0</v>
      </c>
      <c r="AI283" s="7"/>
      <c r="AJ283" s="3"/>
      <c r="AK283" s="8"/>
      <c r="AL283" s="2" t="str">
        <f t="shared" si="4"/>
        <v/>
      </c>
      <c r="AM283" s="2"/>
      <c r="AN283" s="2" t="s">
        <v>2602</v>
      </c>
      <c r="AO283" s="2" t="s">
        <v>2603</v>
      </c>
      <c r="AP283" s="2"/>
    </row>
    <row r="284" spans="1:42" ht="37.5" x14ac:dyDescent="0.35">
      <c r="A284" s="2">
        <v>283</v>
      </c>
      <c r="B284" s="2" t="s">
        <v>2180</v>
      </c>
      <c r="C284" s="2">
        <v>1.5</v>
      </c>
      <c r="D284" s="3" t="s">
        <v>43</v>
      </c>
      <c r="E284" s="3" t="s">
        <v>44</v>
      </c>
      <c r="F284" s="3" t="s">
        <v>679</v>
      </c>
      <c r="G284" s="2" t="s">
        <v>126</v>
      </c>
      <c r="H284" s="2" t="s">
        <v>241</v>
      </c>
      <c r="I284" s="2" t="s">
        <v>1650</v>
      </c>
      <c r="J284" s="2" t="s">
        <v>2604</v>
      </c>
      <c r="K284" s="2"/>
      <c r="L284" s="3"/>
      <c r="M284" s="3"/>
      <c r="N284" s="2" t="s">
        <v>2605</v>
      </c>
      <c r="O284" s="2"/>
      <c r="P284" s="2"/>
      <c r="Q284" s="2"/>
      <c r="R284" s="2"/>
      <c r="S284" s="2"/>
      <c r="T284" s="2"/>
      <c r="U284" s="2"/>
      <c r="V284" s="2"/>
      <c r="W284" s="2"/>
      <c r="X284" s="5"/>
      <c r="Y284" s="2"/>
      <c r="Z284" s="5"/>
      <c r="AA284" s="2"/>
      <c r="AB284" s="2"/>
      <c r="AC284" s="5"/>
      <c r="AD284" s="5" t="s">
        <v>2606</v>
      </c>
      <c r="AE284" s="3"/>
      <c r="AF284" s="6"/>
      <c r="AG284" s="7"/>
      <c r="AH284" s="2">
        <v>0</v>
      </c>
      <c r="AI284" s="7"/>
      <c r="AJ284" s="3"/>
      <c r="AK284" s="8"/>
      <c r="AL284" s="2" t="str">
        <f t="shared" si="4"/>
        <v/>
      </c>
      <c r="AM284" s="2"/>
      <c r="AN284" s="2" t="s">
        <v>2607</v>
      </c>
      <c r="AO284" s="2" t="s">
        <v>2608</v>
      </c>
      <c r="AP284" s="2"/>
    </row>
    <row r="285" spans="1:42" ht="62.5" x14ac:dyDescent="0.35">
      <c r="A285" s="2">
        <v>284</v>
      </c>
      <c r="B285" s="2" t="s">
        <v>2180</v>
      </c>
      <c r="C285" s="2">
        <v>1.5</v>
      </c>
      <c r="D285" s="3" t="s">
        <v>43</v>
      </c>
      <c r="E285" s="3" t="s">
        <v>44</v>
      </c>
      <c r="F285" s="3" t="s">
        <v>679</v>
      </c>
      <c r="G285" s="2" t="s">
        <v>126</v>
      </c>
      <c r="H285" s="2" t="s">
        <v>851</v>
      </c>
      <c r="I285" s="2" t="s">
        <v>2609</v>
      </c>
      <c r="J285" s="2" t="s">
        <v>2610</v>
      </c>
      <c r="K285" s="2"/>
      <c r="L285" s="3"/>
      <c r="M285" s="3"/>
      <c r="N285" s="2" t="s">
        <v>2611</v>
      </c>
      <c r="O285" s="2"/>
      <c r="P285" s="2"/>
      <c r="Q285" s="2" t="s">
        <v>2612</v>
      </c>
      <c r="R285" s="2"/>
      <c r="S285" s="2"/>
      <c r="T285" s="2"/>
      <c r="U285" s="2"/>
      <c r="V285" s="2"/>
      <c r="W285" s="2"/>
      <c r="X285" s="5"/>
      <c r="Y285" s="2"/>
      <c r="Z285" s="5"/>
      <c r="AA285" s="2"/>
      <c r="AB285" s="2"/>
      <c r="AC285" s="5"/>
      <c r="AD285" s="5" t="s">
        <v>2613</v>
      </c>
      <c r="AE285" s="3"/>
      <c r="AF285" s="6"/>
      <c r="AG285" s="7"/>
      <c r="AH285" s="2">
        <v>0</v>
      </c>
      <c r="AI285" s="7"/>
      <c r="AJ285" s="3"/>
      <c r="AK285" s="8"/>
      <c r="AL285" s="2" t="str">
        <f t="shared" si="4"/>
        <v/>
      </c>
      <c r="AM285" s="2"/>
      <c r="AN285" s="2" t="s">
        <v>2614</v>
      </c>
      <c r="AO285" s="2" t="s">
        <v>2615</v>
      </c>
      <c r="AP285" s="2"/>
    </row>
    <row r="286" spans="1:42" ht="62.5" x14ac:dyDescent="0.35">
      <c r="A286" s="2">
        <v>285</v>
      </c>
      <c r="B286" s="2" t="s">
        <v>2180</v>
      </c>
      <c r="C286" s="2">
        <v>1.5</v>
      </c>
      <c r="D286" s="3" t="s">
        <v>43</v>
      </c>
      <c r="E286" s="3" t="s">
        <v>44</v>
      </c>
      <c r="F286" s="3" t="s">
        <v>679</v>
      </c>
      <c r="G286" s="2" t="s">
        <v>126</v>
      </c>
      <c r="H286" s="2" t="s">
        <v>702</v>
      </c>
      <c r="I286" s="2" t="s">
        <v>702</v>
      </c>
      <c r="J286" s="2" t="s">
        <v>2616</v>
      </c>
      <c r="K286" s="2"/>
      <c r="L286" s="3"/>
      <c r="M286" s="3"/>
      <c r="N286" s="2" t="s">
        <v>2617</v>
      </c>
      <c r="O286" s="2" t="s">
        <v>2618</v>
      </c>
      <c r="P286" s="2"/>
      <c r="Q286" s="2"/>
      <c r="R286" s="4" t="s">
        <v>2619</v>
      </c>
      <c r="S286" s="2"/>
      <c r="T286" s="2"/>
      <c r="U286" s="2"/>
      <c r="V286" s="2"/>
      <c r="W286" s="2"/>
      <c r="X286" s="5" t="s">
        <v>224</v>
      </c>
      <c r="Y286" s="2" t="s">
        <v>66</v>
      </c>
      <c r="Z286" s="5" t="s">
        <v>2620</v>
      </c>
      <c r="AA286" s="2"/>
      <c r="AB286" s="2"/>
      <c r="AC286" s="5"/>
      <c r="AD286" s="5" t="s">
        <v>2621</v>
      </c>
      <c r="AE286" s="3"/>
      <c r="AF286" s="6"/>
      <c r="AG286" s="7"/>
      <c r="AH286" s="2">
        <v>0</v>
      </c>
      <c r="AI286" s="7"/>
      <c r="AJ286" s="3"/>
      <c r="AK286" s="8"/>
      <c r="AL286" s="2" t="str">
        <f t="shared" si="4"/>
        <v>Abrir WhatsApp</v>
      </c>
      <c r="AM286" s="2"/>
      <c r="AN286" s="2" t="s">
        <v>2622</v>
      </c>
      <c r="AO286" s="2" t="s">
        <v>2623</v>
      </c>
      <c r="AP286" s="2"/>
    </row>
    <row r="287" spans="1:42" ht="25" x14ac:dyDescent="0.35">
      <c r="A287" s="2">
        <v>286</v>
      </c>
      <c r="B287" s="2" t="s">
        <v>2180</v>
      </c>
      <c r="C287" s="2">
        <v>1.5</v>
      </c>
      <c r="D287" s="3" t="s">
        <v>43</v>
      </c>
      <c r="E287" s="3" t="s">
        <v>44</v>
      </c>
      <c r="F287" s="3" t="s">
        <v>679</v>
      </c>
      <c r="G287" s="2" t="s">
        <v>126</v>
      </c>
      <c r="H287" s="2" t="s">
        <v>2448</v>
      </c>
      <c r="I287" s="2" t="s">
        <v>2624</v>
      </c>
      <c r="J287" s="2" t="s">
        <v>2625</v>
      </c>
      <c r="K287" s="2"/>
      <c r="L287" s="3"/>
      <c r="M287" s="3"/>
      <c r="N287" s="2" t="s">
        <v>2626</v>
      </c>
      <c r="O287" s="2"/>
      <c r="P287" s="2"/>
      <c r="Q287" s="2"/>
      <c r="R287" s="2"/>
      <c r="S287" s="2"/>
      <c r="T287" s="2"/>
      <c r="U287" s="2"/>
      <c r="V287" s="2"/>
      <c r="W287" s="2"/>
      <c r="X287" s="5"/>
      <c r="Y287" s="2"/>
      <c r="Z287" s="5"/>
      <c r="AA287" s="2"/>
      <c r="AB287" s="2"/>
      <c r="AC287" s="5"/>
      <c r="AD287" s="5" t="s">
        <v>2627</v>
      </c>
      <c r="AE287" s="3"/>
      <c r="AF287" s="6"/>
      <c r="AG287" s="7"/>
      <c r="AH287" s="2">
        <v>0</v>
      </c>
      <c r="AI287" s="7"/>
      <c r="AJ287" s="3"/>
      <c r="AK287" s="8"/>
      <c r="AL287" s="2" t="str">
        <f t="shared" si="4"/>
        <v/>
      </c>
      <c r="AM287" s="2"/>
      <c r="AN287" s="2" t="s">
        <v>2628</v>
      </c>
      <c r="AO287" s="2" t="s">
        <v>2629</v>
      </c>
      <c r="AP287" s="2"/>
    </row>
    <row r="288" spans="1:42" ht="37.5" x14ac:dyDescent="0.35">
      <c r="A288" s="2">
        <v>287</v>
      </c>
      <c r="B288" s="2" t="s">
        <v>2180</v>
      </c>
      <c r="C288" s="2">
        <v>1.5</v>
      </c>
      <c r="D288" s="3" t="s">
        <v>43</v>
      </c>
      <c r="E288" s="3" t="s">
        <v>44</v>
      </c>
      <c r="F288" s="3" t="s">
        <v>679</v>
      </c>
      <c r="G288" s="2" t="s">
        <v>126</v>
      </c>
      <c r="H288" s="2" t="s">
        <v>232</v>
      </c>
      <c r="I288" s="2" t="s">
        <v>232</v>
      </c>
      <c r="J288" s="2" t="s">
        <v>2630</v>
      </c>
      <c r="K288" s="2"/>
      <c r="L288" s="3"/>
      <c r="M288" s="3"/>
      <c r="N288" s="2"/>
      <c r="O288" s="2" t="s">
        <v>2631</v>
      </c>
      <c r="P288" s="2"/>
      <c r="Q288" s="2"/>
      <c r="R288" s="2"/>
      <c r="S288" s="2"/>
      <c r="T288" s="2"/>
      <c r="U288" s="2"/>
      <c r="V288" s="2"/>
      <c r="W288" s="2"/>
      <c r="X288" s="5"/>
      <c r="Y288" s="2" t="s">
        <v>66</v>
      </c>
      <c r="Z288" s="5" t="s">
        <v>2632</v>
      </c>
      <c r="AA288" s="2"/>
      <c r="AB288" s="2"/>
      <c r="AC288" s="5"/>
      <c r="AD288" s="5" t="s">
        <v>2633</v>
      </c>
      <c r="AE288" s="3"/>
      <c r="AF288" s="6"/>
      <c r="AG288" s="7"/>
      <c r="AH288" s="2">
        <v>0</v>
      </c>
      <c r="AI288" s="7"/>
      <c r="AJ288" s="3"/>
      <c r="AK288" s="8"/>
      <c r="AL288" s="2" t="str">
        <f t="shared" si="4"/>
        <v>Abrir WhatsApp</v>
      </c>
      <c r="AM288" s="2"/>
      <c r="AN288" s="2" t="s">
        <v>2634</v>
      </c>
      <c r="AO288" s="2" t="s">
        <v>2635</v>
      </c>
      <c r="AP288" s="2"/>
    </row>
    <row r="289" spans="1:42" ht="62.5" x14ac:dyDescent="0.35">
      <c r="A289" s="2">
        <v>288</v>
      </c>
      <c r="B289" s="2" t="s">
        <v>2180</v>
      </c>
      <c r="C289" s="2">
        <v>1.5</v>
      </c>
      <c r="D289" s="3" t="s">
        <v>43</v>
      </c>
      <c r="E289" s="3" t="s">
        <v>44</v>
      </c>
      <c r="F289" s="3" t="s">
        <v>679</v>
      </c>
      <c r="G289" s="2" t="s">
        <v>126</v>
      </c>
      <c r="H289" s="2" t="s">
        <v>1013</v>
      </c>
      <c r="I289" s="2" t="s">
        <v>1013</v>
      </c>
      <c r="J289" s="2" t="s">
        <v>2636</v>
      </c>
      <c r="K289" s="2"/>
      <c r="L289" s="3"/>
      <c r="M289" s="3"/>
      <c r="N289" s="2" t="s">
        <v>2637</v>
      </c>
      <c r="O289" s="2"/>
      <c r="P289" s="2"/>
      <c r="Q289" s="2"/>
      <c r="R289" s="2"/>
      <c r="S289" s="2"/>
      <c r="T289" s="2"/>
      <c r="U289" s="2"/>
      <c r="V289" s="2"/>
      <c r="W289" s="2"/>
      <c r="X289" s="5"/>
      <c r="Y289" s="2"/>
      <c r="Z289" s="5"/>
      <c r="AA289" s="2"/>
      <c r="AB289" s="2"/>
      <c r="AC289" s="5"/>
      <c r="AD289" s="5" t="s">
        <v>2638</v>
      </c>
      <c r="AE289" s="3"/>
      <c r="AF289" s="6"/>
      <c r="AG289" s="7"/>
      <c r="AH289" s="2">
        <v>0</v>
      </c>
      <c r="AI289" s="7"/>
      <c r="AJ289" s="3"/>
      <c r="AK289" s="8"/>
      <c r="AL289" s="2" t="str">
        <f t="shared" si="4"/>
        <v/>
      </c>
      <c r="AM289" s="2"/>
      <c r="AN289" s="2" t="s">
        <v>2639</v>
      </c>
      <c r="AO289" s="2" t="s">
        <v>2640</v>
      </c>
      <c r="AP289" s="2"/>
    </row>
    <row r="290" spans="1:42" ht="75" x14ac:dyDescent="0.35">
      <c r="A290" s="2">
        <v>289</v>
      </c>
      <c r="B290" s="2" t="s">
        <v>2180</v>
      </c>
      <c r="C290" s="2">
        <v>1.5</v>
      </c>
      <c r="D290" s="3" t="s">
        <v>43</v>
      </c>
      <c r="E290" s="3" t="s">
        <v>44</v>
      </c>
      <c r="F290" s="3" t="s">
        <v>679</v>
      </c>
      <c r="G290" s="2" t="s">
        <v>126</v>
      </c>
      <c r="H290" s="2" t="s">
        <v>1283</v>
      </c>
      <c r="I290" s="2" t="s">
        <v>2641</v>
      </c>
      <c r="J290" s="2" t="s">
        <v>2642</v>
      </c>
      <c r="K290" s="2"/>
      <c r="L290" s="3"/>
      <c r="M290" s="3"/>
      <c r="N290" s="2" t="s">
        <v>2643</v>
      </c>
      <c r="O290" s="2"/>
      <c r="P290" s="2"/>
      <c r="Q290" s="2"/>
      <c r="R290" s="2"/>
      <c r="S290" s="4" t="s">
        <v>2644</v>
      </c>
      <c r="T290" s="2"/>
      <c r="U290" s="2">
        <v>4.9000000000000004</v>
      </c>
      <c r="V290" s="2">
        <v>12</v>
      </c>
      <c r="W290" s="2"/>
      <c r="X290" s="5" t="s">
        <v>224</v>
      </c>
      <c r="Y290" s="2"/>
      <c r="Z290" s="5"/>
      <c r="AA290" s="2"/>
      <c r="AB290" s="2"/>
      <c r="AC290" s="5"/>
      <c r="AD290" s="5" t="s">
        <v>2645</v>
      </c>
      <c r="AE290" s="3"/>
      <c r="AF290" s="6"/>
      <c r="AG290" s="7"/>
      <c r="AH290" s="2">
        <v>0</v>
      </c>
      <c r="AI290" s="7"/>
      <c r="AJ290" s="3"/>
      <c r="AK290" s="8"/>
      <c r="AL290" s="2" t="str">
        <f t="shared" si="4"/>
        <v/>
      </c>
      <c r="AM290" s="2"/>
      <c r="AN290" s="2" t="s">
        <v>2646</v>
      </c>
      <c r="AO290" s="2" t="s">
        <v>2647</v>
      </c>
      <c r="AP290" s="2"/>
    </row>
    <row r="291" spans="1:42" ht="75" x14ac:dyDescent="0.35">
      <c r="A291" s="2">
        <v>290</v>
      </c>
      <c r="B291" s="2" t="s">
        <v>2180</v>
      </c>
      <c r="C291" s="2">
        <v>1.5</v>
      </c>
      <c r="D291" s="3" t="s">
        <v>43</v>
      </c>
      <c r="E291" s="3" t="s">
        <v>44</v>
      </c>
      <c r="F291" s="3" t="s">
        <v>679</v>
      </c>
      <c r="G291" s="2" t="s">
        <v>126</v>
      </c>
      <c r="H291" s="2" t="s">
        <v>2648</v>
      </c>
      <c r="I291" s="2" t="s">
        <v>2648</v>
      </c>
      <c r="J291" s="2" t="s">
        <v>2649</v>
      </c>
      <c r="K291" s="2"/>
      <c r="L291" s="3"/>
      <c r="M291" s="3"/>
      <c r="N291" s="2" t="s">
        <v>2650</v>
      </c>
      <c r="O291" s="2"/>
      <c r="P291" s="2"/>
      <c r="Q291" s="2"/>
      <c r="R291" s="2"/>
      <c r="S291" s="2"/>
      <c r="T291" s="2"/>
      <c r="U291" s="2"/>
      <c r="V291" s="2"/>
      <c r="W291" s="2"/>
      <c r="X291" s="5"/>
      <c r="Y291" s="2"/>
      <c r="Z291" s="5"/>
      <c r="AA291" s="2"/>
      <c r="AB291" s="2"/>
      <c r="AC291" s="5"/>
      <c r="AD291" s="5" t="s">
        <v>2651</v>
      </c>
      <c r="AE291" s="3"/>
      <c r="AF291" s="6"/>
      <c r="AG291" s="7"/>
      <c r="AH291" s="2">
        <v>0</v>
      </c>
      <c r="AI291" s="7"/>
      <c r="AJ291" s="3"/>
      <c r="AK291" s="8"/>
      <c r="AL291" s="2" t="str">
        <f t="shared" si="4"/>
        <v/>
      </c>
      <c r="AM291" s="2"/>
      <c r="AN291" s="2" t="s">
        <v>2652</v>
      </c>
      <c r="AO291" s="2" t="s">
        <v>2653</v>
      </c>
      <c r="AP291" s="2"/>
    </row>
    <row r="292" spans="1:42" ht="62.5" x14ac:dyDescent="0.35">
      <c r="A292" s="2">
        <v>291</v>
      </c>
      <c r="B292" s="2" t="s">
        <v>2180</v>
      </c>
      <c r="C292" s="2">
        <v>1.5</v>
      </c>
      <c r="D292" s="3" t="s">
        <v>43</v>
      </c>
      <c r="E292" s="3" t="s">
        <v>44</v>
      </c>
      <c r="F292" s="3" t="s">
        <v>679</v>
      </c>
      <c r="G292" s="2" t="s">
        <v>126</v>
      </c>
      <c r="H292" s="2" t="s">
        <v>1552</v>
      </c>
      <c r="I292" s="2" t="s">
        <v>2654</v>
      </c>
      <c r="J292" s="2" t="s">
        <v>2655</v>
      </c>
      <c r="K292" s="2"/>
      <c r="L292" s="3"/>
      <c r="M292" s="3"/>
      <c r="N292" s="2" t="s">
        <v>2656</v>
      </c>
      <c r="O292" s="2"/>
      <c r="P292" s="2"/>
      <c r="Q292" s="2"/>
      <c r="R292" s="2"/>
      <c r="S292" s="2"/>
      <c r="T292" s="2"/>
      <c r="U292" s="2"/>
      <c r="V292" s="2"/>
      <c r="W292" s="2"/>
      <c r="X292" s="5"/>
      <c r="Y292" s="2"/>
      <c r="Z292" s="5"/>
      <c r="AA292" s="2"/>
      <c r="AB292" s="2"/>
      <c r="AC292" s="5"/>
      <c r="AD292" s="5" t="s">
        <v>2657</v>
      </c>
      <c r="AE292" s="3"/>
      <c r="AF292" s="6"/>
      <c r="AG292" s="7"/>
      <c r="AH292" s="2">
        <v>0</v>
      </c>
      <c r="AI292" s="7"/>
      <c r="AJ292" s="3"/>
      <c r="AK292" s="8"/>
      <c r="AL292" s="2" t="str">
        <f t="shared" si="4"/>
        <v/>
      </c>
      <c r="AM292" s="2"/>
      <c r="AN292" s="2" t="s">
        <v>2658</v>
      </c>
      <c r="AO292" s="2" t="s">
        <v>2659</v>
      </c>
      <c r="AP292" s="2"/>
    </row>
    <row r="293" spans="1:42" ht="62.5" x14ac:dyDescent="0.35">
      <c r="A293" s="2">
        <v>292</v>
      </c>
      <c r="B293" s="2" t="s">
        <v>2180</v>
      </c>
      <c r="C293" s="2">
        <v>1.5</v>
      </c>
      <c r="D293" s="3" t="s">
        <v>43</v>
      </c>
      <c r="E293" s="3" t="s">
        <v>44</v>
      </c>
      <c r="F293" s="3" t="s">
        <v>679</v>
      </c>
      <c r="G293" s="2" t="s">
        <v>107</v>
      </c>
      <c r="H293" s="2" t="s">
        <v>480</v>
      </c>
      <c r="I293" s="2" t="s">
        <v>480</v>
      </c>
      <c r="J293" s="2" t="s">
        <v>2660</v>
      </c>
      <c r="K293" s="2"/>
      <c r="L293" s="3"/>
      <c r="M293" s="3"/>
      <c r="N293" s="2" t="s">
        <v>2661</v>
      </c>
      <c r="O293" s="2" t="s">
        <v>2662</v>
      </c>
      <c r="P293" s="2"/>
      <c r="Q293" s="2"/>
      <c r="R293" s="2"/>
      <c r="S293" s="2"/>
      <c r="T293" s="2"/>
      <c r="U293" s="2">
        <v>4.5</v>
      </c>
      <c r="V293" s="2">
        <v>31</v>
      </c>
      <c r="W293" s="2"/>
      <c r="X293" s="5" t="s">
        <v>2663</v>
      </c>
      <c r="Y293" s="2" t="s">
        <v>66</v>
      </c>
      <c r="Z293" s="5" t="s">
        <v>2664</v>
      </c>
      <c r="AA293" s="2"/>
      <c r="AB293" s="2"/>
      <c r="AC293" s="5" t="s">
        <v>2665</v>
      </c>
      <c r="AD293" s="5" t="s">
        <v>2666</v>
      </c>
      <c r="AE293" s="3"/>
      <c r="AF293" s="6"/>
      <c r="AG293" s="7"/>
      <c r="AH293" s="2">
        <v>0</v>
      </c>
      <c r="AI293" s="7"/>
      <c r="AJ293" s="3"/>
      <c r="AK293" s="8"/>
      <c r="AL293" s="2" t="str">
        <f t="shared" si="4"/>
        <v>Abrir WhatsApp</v>
      </c>
      <c r="AM293" s="2" t="s">
        <v>462</v>
      </c>
      <c r="AN293" s="2" t="s">
        <v>2667</v>
      </c>
      <c r="AO293" s="2" t="s">
        <v>2668</v>
      </c>
      <c r="AP293" s="2"/>
    </row>
    <row r="294" spans="1:42" ht="37.5" x14ac:dyDescent="0.35">
      <c r="A294" s="2">
        <v>293</v>
      </c>
      <c r="B294" s="2" t="s">
        <v>2180</v>
      </c>
      <c r="C294" s="2">
        <v>1.5</v>
      </c>
      <c r="D294" s="3" t="s">
        <v>43</v>
      </c>
      <c r="E294" s="3" t="s">
        <v>44</v>
      </c>
      <c r="F294" s="3" t="s">
        <v>679</v>
      </c>
      <c r="G294" s="2" t="s">
        <v>107</v>
      </c>
      <c r="H294" s="2" t="s">
        <v>2669</v>
      </c>
      <c r="I294" s="2" t="s">
        <v>2669</v>
      </c>
      <c r="J294" s="2" t="s">
        <v>2670</v>
      </c>
      <c r="K294" s="2"/>
      <c r="L294" s="3"/>
      <c r="M294" s="3"/>
      <c r="N294" s="2" t="s">
        <v>2671</v>
      </c>
      <c r="O294" s="2"/>
      <c r="P294" s="2"/>
      <c r="Q294" s="2"/>
      <c r="R294" s="2"/>
      <c r="S294" s="2"/>
      <c r="T294" s="2"/>
      <c r="U294" s="2">
        <v>5</v>
      </c>
      <c r="V294" s="2">
        <v>5</v>
      </c>
      <c r="W294" s="2"/>
      <c r="X294" s="5"/>
      <c r="Y294" s="2" t="s">
        <v>66</v>
      </c>
      <c r="Z294" s="5" t="s">
        <v>2672</v>
      </c>
      <c r="AA294" s="2">
        <v>117</v>
      </c>
      <c r="AB294" s="2"/>
      <c r="AC294" s="5"/>
      <c r="AD294" s="5" t="s">
        <v>2673</v>
      </c>
      <c r="AE294" s="3"/>
      <c r="AF294" s="6"/>
      <c r="AG294" s="7"/>
      <c r="AH294" s="2">
        <v>0</v>
      </c>
      <c r="AI294" s="7"/>
      <c r="AJ294" s="3"/>
      <c r="AK294" s="8"/>
      <c r="AL294" s="2" t="str">
        <f t="shared" si="4"/>
        <v/>
      </c>
      <c r="AM294" s="2" t="s">
        <v>1042</v>
      </c>
      <c r="AN294" s="2" t="s">
        <v>2674</v>
      </c>
      <c r="AO294" s="2" t="s">
        <v>2675</v>
      </c>
      <c r="AP294" s="2"/>
    </row>
    <row r="295" spans="1:42" ht="37.5" x14ac:dyDescent="0.35">
      <c r="A295" s="2">
        <v>294</v>
      </c>
      <c r="B295" s="2" t="s">
        <v>2180</v>
      </c>
      <c r="C295" s="2">
        <v>1.5</v>
      </c>
      <c r="D295" s="3" t="s">
        <v>43</v>
      </c>
      <c r="E295" s="3" t="s">
        <v>44</v>
      </c>
      <c r="F295" s="3" t="s">
        <v>679</v>
      </c>
      <c r="G295" s="2" t="s">
        <v>107</v>
      </c>
      <c r="H295" s="2" t="s">
        <v>480</v>
      </c>
      <c r="I295" s="2" t="s">
        <v>2676</v>
      </c>
      <c r="J295" s="2" t="s">
        <v>2677</v>
      </c>
      <c r="K295" s="2"/>
      <c r="L295" s="3"/>
      <c r="M295" s="3"/>
      <c r="N295" s="2" t="s">
        <v>2678</v>
      </c>
      <c r="O295" s="2"/>
      <c r="P295" s="2"/>
      <c r="Q295" s="2"/>
      <c r="R295" s="2"/>
      <c r="S295" s="4" t="s">
        <v>2679</v>
      </c>
      <c r="T295" s="2"/>
      <c r="U295" s="2">
        <v>4.5</v>
      </c>
      <c r="V295" s="2">
        <v>6</v>
      </c>
      <c r="W295" s="2"/>
      <c r="X295" s="5"/>
      <c r="Y295" s="2" t="s">
        <v>66</v>
      </c>
      <c r="Z295" s="5" t="s">
        <v>310</v>
      </c>
      <c r="AA295" s="2">
        <v>118</v>
      </c>
      <c r="AB295" s="2"/>
      <c r="AC295" s="5"/>
      <c r="AD295" s="5" t="s">
        <v>2680</v>
      </c>
      <c r="AE295" s="3"/>
      <c r="AF295" s="6"/>
      <c r="AG295" s="7"/>
      <c r="AH295" s="2">
        <v>0</v>
      </c>
      <c r="AI295" s="7"/>
      <c r="AJ295" s="3"/>
      <c r="AK295" s="8"/>
      <c r="AL295" s="2" t="str">
        <f t="shared" si="4"/>
        <v/>
      </c>
      <c r="AM295" s="2" t="s">
        <v>1042</v>
      </c>
      <c r="AN295" s="2" t="s">
        <v>2681</v>
      </c>
      <c r="AO295" s="2" t="s">
        <v>2682</v>
      </c>
      <c r="AP295" s="2"/>
    </row>
    <row r="296" spans="1:42" ht="75" x14ac:dyDescent="0.35">
      <c r="A296" s="2">
        <v>295</v>
      </c>
      <c r="B296" s="2" t="s">
        <v>2180</v>
      </c>
      <c r="C296" s="2">
        <v>1.5</v>
      </c>
      <c r="D296" s="3" t="s">
        <v>43</v>
      </c>
      <c r="E296" s="3" t="s">
        <v>44</v>
      </c>
      <c r="F296" s="3" t="s">
        <v>679</v>
      </c>
      <c r="G296" s="2" t="s">
        <v>107</v>
      </c>
      <c r="H296" s="2" t="s">
        <v>107</v>
      </c>
      <c r="I296" s="2" t="s">
        <v>107</v>
      </c>
      <c r="J296" s="2" t="s">
        <v>2683</v>
      </c>
      <c r="K296" s="2"/>
      <c r="L296" s="3"/>
      <c r="M296" s="3"/>
      <c r="N296" s="2" t="s">
        <v>2684</v>
      </c>
      <c r="O296" s="2" t="s">
        <v>2685</v>
      </c>
      <c r="P296" s="2"/>
      <c r="Q296" s="2"/>
      <c r="R296" s="2"/>
      <c r="S296" s="4" t="s">
        <v>2686</v>
      </c>
      <c r="T296" s="2"/>
      <c r="U296" s="2" t="s">
        <v>2687</v>
      </c>
      <c r="V296" s="2">
        <v>32</v>
      </c>
      <c r="W296" s="2"/>
      <c r="X296" s="5"/>
      <c r="Y296" s="2" t="s">
        <v>118</v>
      </c>
      <c r="Z296" s="5" t="s">
        <v>2688</v>
      </c>
      <c r="AA296" s="2"/>
      <c r="AB296" s="2"/>
      <c r="AC296" s="5" t="s">
        <v>2689</v>
      </c>
      <c r="AD296" s="5" t="s">
        <v>2690</v>
      </c>
      <c r="AE296" s="3"/>
      <c r="AF296" s="6"/>
      <c r="AG296" s="7"/>
      <c r="AH296" s="2">
        <v>0</v>
      </c>
      <c r="AI296" s="7"/>
      <c r="AJ296" s="3"/>
      <c r="AK296" s="8"/>
      <c r="AL296" s="2" t="str">
        <f t="shared" si="4"/>
        <v>Abrir WhatsApp</v>
      </c>
      <c r="AM296" s="2" t="s">
        <v>1042</v>
      </c>
      <c r="AN296" s="2" t="s">
        <v>2691</v>
      </c>
      <c r="AO296" s="2" t="s">
        <v>2692</v>
      </c>
      <c r="AP296" s="2"/>
    </row>
    <row r="297" spans="1:42" ht="37.5" x14ac:dyDescent="0.35">
      <c r="A297" s="2">
        <v>296</v>
      </c>
      <c r="B297" s="2" t="s">
        <v>2180</v>
      </c>
      <c r="C297" s="2">
        <v>1.5</v>
      </c>
      <c r="D297" s="3" t="s">
        <v>43</v>
      </c>
      <c r="E297" s="3" t="s">
        <v>44</v>
      </c>
      <c r="F297" s="3" t="s">
        <v>679</v>
      </c>
      <c r="G297" s="2" t="s">
        <v>207</v>
      </c>
      <c r="H297" s="2" t="s">
        <v>2553</v>
      </c>
      <c r="I297" s="2" t="s">
        <v>2553</v>
      </c>
      <c r="J297" s="2" t="s">
        <v>2693</v>
      </c>
      <c r="K297" s="2"/>
      <c r="L297" s="3"/>
      <c r="M297" s="3"/>
      <c r="N297" s="2" t="s">
        <v>2694</v>
      </c>
      <c r="O297" s="2"/>
      <c r="P297" s="2"/>
      <c r="Q297" s="2"/>
      <c r="R297" s="2"/>
      <c r="S297" s="2"/>
      <c r="T297" s="2"/>
      <c r="U297" s="2"/>
      <c r="V297" s="2"/>
      <c r="W297" s="2"/>
      <c r="X297" s="5"/>
      <c r="Y297" s="2"/>
      <c r="Z297" s="5"/>
      <c r="AA297" s="2">
        <v>248</v>
      </c>
      <c r="AB297" s="2"/>
      <c r="AC297" s="5"/>
      <c r="AD297" s="5" t="s">
        <v>2695</v>
      </c>
      <c r="AE297" s="3"/>
      <c r="AF297" s="6"/>
      <c r="AG297" s="7"/>
      <c r="AH297" s="2">
        <v>0</v>
      </c>
      <c r="AI297" s="7"/>
      <c r="AJ297" s="3"/>
      <c r="AK297" s="8"/>
      <c r="AL297" s="2" t="str">
        <f t="shared" si="4"/>
        <v/>
      </c>
      <c r="AM297" s="2"/>
      <c r="AN297" s="2" t="s">
        <v>2696</v>
      </c>
      <c r="AO297" s="2" t="s">
        <v>2697</v>
      </c>
      <c r="AP297" s="2"/>
    </row>
    <row r="298" spans="1:42" ht="25" x14ac:dyDescent="0.35">
      <c r="A298" s="2">
        <v>297</v>
      </c>
      <c r="B298" s="2" t="s">
        <v>2180</v>
      </c>
      <c r="C298" s="2">
        <v>1.4</v>
      </c>
      <c r="D298" s="3" t="s">
        <v>43</v>
      </c>
      <c r="E298" s="3" t="s">
        <v>44</v>
      </c>
      <c r="F298" s="3" t="s">
        <v>679</v>
      </c>
      <c r="G298" s="2" t="s">
        <v>107</v>
      </c>
      <c r="H298" s="2" t="s">
        <v>609</v>
      </c>
      <c r="I298" s="2" t="s">
        <v>1978</v>
      </c>
      <c r="J298" s="2" t="s">
        <v>2698</v>
      </c>
      <c r="K298" s="2"/>
      <c r="L298" s="3"/>
      <c r="M298" s="3"/>
      <c r="N298" s="2" t="s">
        <v>2699</v>
      </c>
      <c r="O298" s="2"/>
      <c r="P298" s="2"/>
      <c r="Q298" s="2"/>
      <c r="R298" s="2" t="s">
        <v>2700</v>
      </c>
      <c r="S298" s="2"/>
      <c r="T298" s="2"/>
      <c r="U298" s="2">
        <v>4.7</v>
      </c>
      <c r="V298" s="2">
        <v>7</v>
      </c>
      <c r="W298" s="2"/>
      <c r="X298" s="5"/>
      <c r="Y298" s="2" t="s">
        <v>118</v>
      </c>
      <c r="Z298" s="5" t="s">
        <v>2701</v>
      </c>
      <c r="AA298" s="2">
        <v>104</v>
      </c>
      <c r="AB298" s="2"/>
      <c r="AC298" s="5"/>
      <c r="AD298" s="5" t="s">
        <v>2702</v>
      </c>
      <c r="AE298" s="3"/>
      <c r="AF298" s="6"/>
      <c r="AG298" s="7"/>
      <c r="AH298" s="2">
        <v>0</v>
      </c>
      <c r="AI298" s="7"/>
      <c r="AJ298" s="3"/>
      <c r="AK298" s="8"/>
      <c r="AL298" s="2" t="str">
        <f t="shared" si="4"/>
        <v/>
      </c>
      <c r="AM298" s="2" t="s">
        <v>915</v>
      </c>
      <c r="AN298" s="2" t="s">
        <v>2703</v>
      </c>
      <c r="AO298" s="2" t="s">
        <v>2704</v>
      </c>
      <c r="AP298" s="2"/>
    </row>
    <row r="299" spans="1:42" ht="62.5" x14ac:dyDescent="0.35">
      <c r="A299" s="2">
        <v>298</v>
      </c>
      <c r="B299" s="2" t="s">
        <v>2180</v>
      </c>
      <c r="C299" s="2">
        <v>1.3</v>
      </c>
      <c r="D299" s="3" t="s">
        <v>43</v>
      </c>
      <c r="E299" s="3" t="s">
        <v>44</v>
      </c>
      <c r="F299" s="3" t="s">
        <v>679</v>
      </c>
      <c r="G299" s="2" t="s">
        <v>207</v>
      </c>
      <c r="H299" s="2" t="s">
        <v>2553</v>
      </c>
      <c r="I299" s="2" t="s">
        <v>2553</v>
      </c>
      <c r="J299" s="2" t="s">
        <v>2705</v>
      </c>
      <c r="K299" s="2"/>
      <c r="L299" s="3"/>
      <c r="M299" s="3"/>
      <c r="N299" s="2" t="s">
        <v>2706</v>
      </c>
      <c r="O299" s="2"/>
      <c r="P299" s="2"/>
      <c r="Q299" s="2" t="s">
        <v>2707</v>
      </c>
      <c r="R299" s="2" t="s">
        <v>2708</v>
      </c>
      <c r="S299" s="4" t="s">
        <v>2709</v>
      </c>
      <c r="T299" s="2"/>
      <c r="U299" s="2">
        <v>4.5</v>
      </c>
      <c r="V299" s="2">
        <v>10</v>
      </c>
      <c r="W299" s="2"/>
      <c r="X299" s="5"/>
      <c r="Y299" s="2" t="s">
        <v>66</v>
      </c>
      <c r="Z299" s="5" t="s">
        <v>2710</v>
      </c>
      <c r="AA299" s="2">
        <v>86</v>
      </c>
      <c r="AB299" s="2"/>
      <c r="AC299" s="5" t="s">
        <v>2711</v>
      </c>
      <c r="AD299" s="5" t="s">
        <v>2712</v>
      </c>
      <c r="AE299" s="3"/>
      <c r="AF299" s="6"/>
      <c r="AG299" s="7"/>
      <c r="AH299" s="2">
        <v>0</v>
      </c>
      <c r="AI299" s="7"/>
      <c r="AJ299" s="3"/>
      <c r="AK299" s="8"/>
      <c r="AL299" s="2" t="str">
        <f t="shared" si="4"/>
        <v/>
      </c>
      <c r="AM299" s="2"/>
      <c r="AN299" s="2" t="s">
        <v>2713</v>
      </c>
      <c r="AO299" s="2" t="s">
        <v>2714</v>
      </c>
      <c r="AP299" s="2"/>
    </row>
    <row r="300" spans="1:42" ht="50" x14ac:dyDescent="0.35">
      <c r="A300" s="2">
        <v>299</v>
      </c>
      <c r="B300" s="2" t="s">
        <v>2180</v>
      </c>
      <c r="C300" s="2">
        <v>1.3</v>
      </c>
      <c r="D300" s="3" t="s">
        <v>43</v>
      </c>
      <c r="E300" s="3" t="s">
        <v>44</v>
      </c>
      <c r="F300" s="3" t="s">
        <v>679</v>
      </c>
      <c r="G300" s="2" t="s">
        <v>207</v>
      </c>
      <c r="H300" s="2" t="s">
        <v>2553</v>
      </c>
      <c r="I300" s="2" t="s">
        <v>2715</v>
      </c>
      <c r="J300" s="2" t="s">
        <v>2716</v>
      </c>
      <c r="K300" s="2"/>
      <c r="L300" s="3"/>
      <c r="M300" s="3"/>
      <c r="N300" s="2" t="s">
        <v>2717</v>
      </c>
      <c r="O300" s="2"/>
      <c r="P300" s="2"/>
      <c r="Q300" s="2"/>
      <c r="R300" s="2"/>
      <c r="S300" s="4" t="s">
        <v>2718</v>
      </c>
      <c r="T300" s="2"/>
      <c r="U300" s="2">
        <v>4</v>
      </c>
      <c r="V300" s="2">
        <v>8</v>
      </c>
      <c r="W300" s="2"/>
      <c r="X300" s="5"/>
      <c r="Y300" s="2" t="s">
        <v>66</v>
      </c>
      <c r="Z300" s="5" t="s">
        <v>2719</v>
      </c>
      <c r="AA300" s="2">
        <v>206</v>
      </c>
      <c r="AB300" s="2"/>
      <c r="AC300" s="5"/>
      <c r="AD300" s="5" t="s">
        <v>2720</v>
      </c>
      <c r="AE300" s="3"/>
      <c r="AF300" s="6"/>
      <c r="AG300" s="7"/>
      <c r="AH300" s="2">
        <v>0</v>
      </c>
      <c r="AI300" s="7"/>
      <c r="AJ300" s="3"/>
      <c r="AK300" s="8"/>
      <c r="AL300" s="2" t="str">
        <f t="shared" si="4"/>
        <v/>
      </c>
      <c r="AM300" s="2"/>
      <c r="AN300" s="2" t="s">
        <v>2721</v>
      </c>
      <c r="AO300" s="2" t="s">
        <v>2722</v>
      </c>
      <c r="AP300" s="2"/>
    </row>
    <row r="301" spans="1:42" ht="50" x14ac:dyDescent="0.35">
      <c r="A301" s="2">
        <v>300</v>
      </c>
      <c r="B301" s="2" t="s">
        <v>2180</v>
      </c>
      <c r="C301" s="2">
        <v>1.2</v>
      </c>
      <c r="D301" s="3" t="s">
        <v>43</v>
      </c>
      <c r="E301" s="3" t="s">
        <v>44</v>
      </c>
      <c r="F301" s="3" t="s">
        <v>679</v>
      </c>
      <c r="G301" s="2" t="s">
        <v>393</v>
      </c>
      <c r="H301" s="2" t="s">
        <v>2119</v>
      </c>
      <c r="I301" s="2" t="s">
        <v>2119</v>
      </c>
      <c r="J301" s="2" t="s">
        <v>2723</v>
      </c>
      <c r="K301" s="2"/>
      <c r="L301" s="3"/>
      <c r="M301" s="3"/>
      <c r="N301" s="2" t="s">
        <v>2724</v>
      </c>
      <c r="O301" s="2"/>
      <c r="P301" s="2"/>
      <c r="Q301" s="2" t="s">
        <v>2725</v>
      </c>
      <c r="R301" s="4" t="s">
        <v>2726</v>
      </c>
      <c r="S301" s="4" t="s">
        <v>2727</v>
      </c>
      <c r="T301" s="2"/>
      <c r="U301" s="2">
        <v>5</v>
      </c>
      <c r="V301" s="2">
        <v>8</v>
      </c>
      <c r="W301" s="2"/>
      <c r="X301" s="5" t="s">
        <v>2728</v>
      </c>
      <c r="Y301" s="2" t="s">
        <v>66</v>
      </c>
      <c r="Z301" s="5" t="s">
        <v>2729</v>
      </c>
      <c r="AA301" s="2">
        <v>296</v>
      </c>
      <c r="AB301" s="2" t="s">
        <v>137</v>
      </c>
      <c r="AC301" s="5"/>
      <c r="AD301" s="5" t="s">
        <v>2730</v>
      </c>
      <c r="AE301" s="3"/>
      <c r="AF301" s="6"/>
      <c r="AG301" s="7"/>
      <c r="AH301" s="2">
        <v>0</v>
      </c>
      <c r="AI301" s="7"/>
      <c r="AJ301" s="3"/>
      <c r="AK301" s="8"/>
      <c r="AL301" s="2" t="str">
        <f t="shared" si="4"/>
        <v/>
      </c>
      <c r="AM301" s="2" t="s">
        <v>2731</v>
      </c>
      <c r="AN301" s="2" t="s">
        <v>2732</v>
      </c>
      <c r="AO301" s="2" t="s">
        <v>2733</v>
      </c>
      <c r="AP301" s="2"/>
    </row>
    <row r="302" spans="1:42" ht="25" x14ac:dyDescent="0.35">
      <c r="A302" s="2">
        <v>301</v>
      </c>
      <c r="B302" s="2" t="s">
        <v>2180</v>
      </c>
      <c r="C302" s="2">
        <v>1.2</v>
      </c>
      <c r="D302" s="3" t="s">
        <v>43</v>
      </c>
      <c r="E302" s="3" t="s">
        <v>44</v>
      </c>
      <c r="F302" s="3" t="s">
        <v>679</v>
      </c>
      <c r="G302" s="2" t="s">
        <v>991</v>
      </c>
      <c r="H302" s="2" t="s">
        <v>1148</v>
      </c>
      <c r="I302" s="2" t="s">
        <v>1148</v>
      </c>
      <c r="J302" s="2" t="s">
        <v>2734</v>
      </c>
      <c r="K302" s="2"/>
      <c r="L302" s="3"/>
      <c r="M302" s="3"/>
      <c r="N302" s="2" t="s">
        <v>2735</v>
      </c>
      <c r="O302" s="2"/>
      <c r="P302" s="2"/>
      <c r="Q302" s="2"/>
      <c r="R302" s="2"/>
      <c r="S302" s="4" t="s">
        <v>2736</v>
      </c>
      <c r="T302" s="2"/>
      <c r="U302" s="2">
        <v>4.8</v>
      </c>
      <c r="V302" s="2">
        <v>23</v>
      </c>
      <c r="W302" s="2"/>
      <c r="X302" s="5"/>
      <c r="Y302" s="2" t="s">
        <v>66</v>
      </c>
      <c r="Z302" s="5" t="s">
        <v>2065</v>
      </c>
      <c r="AA302" s="2">
        <v>292</v>
      </c>
      <c r="AB302" s="2"/>
      <c r="AC302" s="5"/>
      <c r="AD302" s="5" t="s">
        <v>2737</v>
      </c>
      <c r="AE302" s="3"/>
      <c r="AF302" s="6"/>
      <c r="AG302" s="7"/>
      <c r="AH302" s="2">
        <v>0</v>
      </c>
      <c r="AI302" s="7"/>
      <c r="AJ302" s="3"/>
      <c r="AK302" s="8"/>
      <c r="AL302" s="2" t="str">
        <f t="shared" si="4"/>
        <v/>
      </c>
      <c r="AM302" s="2" t="s">
        <v>2738</v>
      </c>
      <c r="AN302" s="2" t="s">
        <v>2739</v>
      </c>
      <c r="AO302" s="2" t="s">
        <v>2740</v>
      </c>
      <c r="AP302" s="2"/>
    </row>
    <row r="303" spans="1:42" ht="37.5" x14ac:dyDescent="0.35">
      <c r="A303" s="2">
        <v>302</v>
      </c>
      <c r="B303" s="2" t="s">
        <v>2180</v>
      </c>
      <c r="C303" s="2">
        <v>1.1000000000000001</v>
      </c>
      <c r="D303" s="3" t="s">
        <v>43</v>
      </c>
      <c r="E303" s="3" t="s">
        <v>44</v>
      </c>
      <c r="F303" s="3" t="s">
        <v>679</v>
      </c>
      <c r="G303" s="2" t="s">
        <v>107</v>
      </c>
      <c r="H303" s="2" t="s">
        <v>107</v>
      </c>
      <c r="I303" s="2" t="s">
        <v>2741</v>
      </c>
      <c r="J303" s="2" t="s">
        <v>2742</v>
      </c>
      <c r="K303" s="2"/>
      <c r="L303" s="3"/>
      <c r="M303" s="3"/>
      <c r="N303" s="2" t="s">
        <v>2743</v>
      </c>
      <c r="O303" s="2"/>
      <c r="P303" s="2"/>
      <c r="Q303" s="2"/>
      <c r="R303" s="2"/>
      <c r="S303" s="2"/>
      <c r="T303" s="2"/>
      <c r="U303" s="2">
        <v>4</v>
      </c>
      <c r="V303" s="2">
        <v>1</v>
      </c>
      <c r="W303" s="2"/>
      <c r="X303" s="5" t="s">
        <v>319</v>
      </c>
      <c r="Y303" s="2" t="s">
        <v>118</v>
      </c>
      <c r="Z303" s="5" t="s">
        <v>2744</v>
      </c>
      <c r="AA303" s="2">
        <v>15</v>
      </c>
      <c r="AB303" s="2"/>
      <c r="AC303" s="5"/>
      <c r="AD303" s="5" t="s">
        <v>2745</v>
      </c>
      <c r="AE303" s="3"/>
      <c r="AF303" s="6"/>
      <c r="AG303" s="7"/>
      <c r="AH303" s="2">
        <v>0</v>
      </c>
      <c r="AI303" s="7"/>
      <c r="AJ303" s="3"/>
      <c r="AK303" s="8"/>
      <c r="AL303" s="2" t="str">
        <f t="shared" si="4"/>
        <v/>
      </c>
      <c r="AM303" s="2" t="s">
        <v>1042</v>
      </c>
      <c r="AN303" s="2" t="s">
        <v>2746</v>
      </c>
      <c r="AO303" s="2" t="s">
        <v>2747</v>
      </c>
      <c r="AP303" s="2"/>
    </row>
    <row r="304" spans="1:42" ht="62.5" x14ac:dyDescent="0.35">
      <c r="A304" s="2">
        <v>303</v>
      </c>
      <c r="B304" s="2" t="s">
        <v>2180</v>
      </c>
      <c r="C304" s="2">
        <v>1.1000000000000001</v>
      </c>
      <c r="D304" s="3" t="s">
        <v>43</v>
      </c>
      <c r="E304" s="3" t="s">
        <v>44</v>
      </c>
      <c r="F304" s="3" t="s">
        <v>679</v>
      </c>
      <c r="G304" s="2" t="s">
        <v>393</v>
      </c>
      <c r="H304" s="2" t="s">
        <v>393</v>
      </c>
      <c r="I304" s="2" t="s">
        <v>2748</v>
      </c>
      <c r="J304" s="2" t="s">
        <v>2749</v>
      </c>
      <c r="K304" s="2"/>
      <c r="L304" s="3"/>
      <c r="M304" s="3"/>
      <c r="N304" s="2"/>
      <c r="O304" s="2"/>
      <c r="P304" s="2"/>
      <c r="Q304" s="2"/>
      <c r="R304" s="4" t="s">
        <v>2750</v>
      </c>
      <c r="S304" s="4" t="s">
        <v>2751</v>
      </c>
      <c r="T304" s="4" t="s">
        <v>2752</v>
      </c>
      <c r="U304" s="2"/>
      <c r="V304" s="2"/>
      <c r="W304" s="2" t="s">
        <v>2753</v>
      </c>
      <c r="X304" s="5" t="s">
        <v>2754</v>
      </c>
      <c r="Y304" s="2" t="s">
        <v>66</v>
      </c>
      <c r="Z304" s="5" t="s">
        <v>2755</v>
      </c>
      <c r="AA304" s="2">
        <v>273</v>
      </c>
      <c r="AB304" s="2" t="s">
        <v>137</v>
      </c>
      <c r="AC304" s="5"/>
      <c r="AD304" s="5" t="s">
        <v>2756</v>
      </c>
      <c r="AE304" s="3"/>
      <c r="AF304" s="6"/>
      <c r="AG304" s="7"/>
      <c r="AH304" s="2">
        <v>0</v>
      </c>
      <c r="AI304" s="7"/>
      <c r="AJ304" s="3"/>
      <c r="AK304" s="8"/>
      <c r="AL304" s="2" t="str">
        <f t="shared" si="4"/>
        <v/>
      </c>
      <c r="AM304" s="2" t="s">
        <v>2750</v>
      </c>
      <c r="AN304" s="2" t="s">
        <v>2757</v>
      </c>
      <c r="AO304" s="2" t="s">
        <v>2758</v>
      </c>
      <c r="AP304" s="2"/>
    </row>
    <row r="305" spans="1:42" ht="37.5" x14ac:dyDescent="0.35">
      <c r="A305" s="2">
        <v>304</v>
      </c>
      <c r="B305" s="2" t="s">
        <v>2180</v>
      </c>
      <c r="C305" s="2">
        <v>1.1000000000000001</v>
      </c>
      <c r="D305" s="3" t="s">
        <v>43</v>
      </c>
      <c r="E305" s="3" t="s">
        <v>44</v>
      </c>
      <c r="F305" s="3" t="s">
        <v>679</v>
      </c>
      <c r="G305" s="2" t="s">
        <v>393</v>
      </c>
      <c r="H305" s="2" t="s">
        <v>393</v>
      </c>
      <c r="I305" s="2" t="s">
        <v>393</v>
      </c>
      <c r="J305" s="2" t="s">
        <v>2759</v>
      </c>
      <c r="K305" s="2"/>
      <c r="L305" s="3"/>
      <c r="M305" s="3"/>
      <c r="N305" s="2" t="s">
        <v>2760</v>
      </c>
      <c r="O305" s="2" t="s">
        <v>2761</v>
      </c>
      <c r="P305" s="2"/>
      <c r="Q305" s="2" t="s">
        <v>2762</v>
      </c>
      <c r="R305" s="4" t="s">
        <v>2763</v>
      </c>
      <c r="S305" s="4" t="s">
        <v>2764</v>
      </c>
      <c r="T305" s="2"/>
      <c r="U305" s="2">
        <v>4.8</v>
      </c>
      <c r="V305" s="2">
        <v>19</v>
      </c>
      <c r="W305" s="2" t="s">
        <v>2765</v>
      </c>
      <c r="X305" s="5"/>
      <c r="Y305" s="2" t="s">
        <v>118</v>
      </c>
      <c r="Z305" s="5" t="s">
        <v>2766</v>
      </c>
      <c r="AA305" s="2">
        <v>268</v>
      </c>
      <c r="AB305" s="2" t="s">
        <v>2767</v>
      </c>
      <c r="AC305" s="5"/>
      <c r="AD305" s="5" t="s">
        <v>2768</v>
      </c>
      <c r="AE305" s="3"/>
      <c r="AF305" s="6"/>
      <c r="AG305" s="7"/>
      <c r="AH305" s="2">
        <v>0</v>
      </c>
      <c r="AI305" s="7"/>
      <c r="AJ305" s="3"/>
      <c r="AK305" s="8"/>
      <c r="AL305" s="2" t="str">
        <f t="shared" si="4"/>
        <v>Abrir WhatsApp</v>
      </c>
      <c r="AM305" s="2" t="s">
        <v>2769</v>
      </c>
      <c r="AN305" s="2" t="s">
        <v>2770</v>
      </c>
      <c r="AO305" s="2" t="s">
        <v>2771</v>
      </c>
      <c r="AP305" s="2"/>
    </row>
    <row r="306" spans="1:42" ht="37.5" x14ac:dyDescent="0.35">
      <c r="A306" s="2">
        <v>305</v>
      </c>
      <c r="B306" s="2" t="s">
        <v>2180</v>
      </c>
      <c r="C306" s="2">
        <v>1.1000000000000001</v>
      </c>
      <c r="D306" s="3" t="s">
        <v>43</v>
      </c>
      <c r="E306" s="3" t="s">
        <v>44</v>
      </c>
      <c r="F306" s="3" t="s">
        <v>679</v>
      </c>
      <c r="G306" s="2" t="s">
        <v>991</v>
      </c>
      <c r="H306" s="2" t="s">
        <v>991</v>
      </c>
      <c r="I306" s="2" t="s">
        <v>991</v>
      </c>
      <c r="J306" s="2" t="s">
        <v>2772</v>
      </c>
      <c r="K306" s="2"/>
      <c r="L306" s="3"/>
      <c r="M306" s="3"/>
      <c r="N306" s="2" t="s">
        <v>2773</v>
      </c>
      <c r="O306" s="2"/>
      <c r="P306" s="2"/>
      <c r="Q306" s="2" t="s">
        <v>2774</v>
      </c>
      <c r="R306" s="2"/>
      <c r="S306" s="4" t="s">
        <v>2775</v>
      </c>
      <c r="T306" s="2"/>
      <c r="U306" s="2">
        <v>4.9000000000000004</v>
      </c>
      <c r="V306" s="2">
        <v>7</v>
      </c>
      <c r="W306" s="2"/>
      <c r="X306" s="5"/>
      <c r="Y306" s="2" t="s">
        <v>66</v>
      </c>
      <c r="Z306" s="5" t="s">
        <v>2776</v>
      </c>
      <c r="AA306" s="2">
        <v>263</v>
      </c>
      <c r="AB306" s="2"/>
      <c r="AC306" s="5"/>
      <c r="AD306" s="5" t="s">
        <v>2777</v>
      </c>
      <c r="AE306" s="3"/>
      <c r="AF306" s="6"/>
      <c r="AG306" s="7"/>
      <c r="AH306" s="2">
        <v>0</v>
      </c>
      <c r="AI306" s="7"/>
      <c r="AJ306" s="3"/>
      <c r="AK306" s="8"/>
      <c r="AL306" s="2" t="str">
        <f t="shared" si="4"/>
        <v/>
      </c>
      <c r="AM306" s="2" t="s">
        <v>2778</v>
      </c>
      <c r="AN306" s="2" t="s">
        <v>2779</v>
      </c>
      <c r="AO306" s="2" t="s">
        <v>2780</v>
      </c>
      <c r="AP306" s="2"/>
    </row>
    <row r="307" spans="1:42" x14ac:dyDescent="0.35">
      <c r="A307" s="2">
        <v>306</v>
      </c>
      <c r="B307" s="2" t="s">
        <v>2180</v>
      </c>
      <c r="C307" s="2">
        <v>1.1000000000000001</v>
      </c>
      <c r="D307" s="3" t="s">
        <v>43</v>
      </c>
      <c r="E307" s="3" t="s">
        <v>44</v>
      </c>
      <c r="F307" s="3" t="s">
        <v>679</v>
      </c>
      <c r="G307" s="2" t="s">
        <v>991</v>
      </c>
      <c r="H307" s="2" t="s">
        <v>2781</v>
      </c>
      <c r="I307" s="2" t="s">
        <v>2781</v>
      </c>
      <c r="J307" s="2" t="s">
        <v>2782</v>
      </c>
      <c r="K307" s="2"/>
      <c r="L307" s="3"/>
      <c r="M307" s="3"/>
      <c r="N307" s="2" t="s">
        <v>2783</v>
      </c>
      <c r="O307" s="2"/>
      <c r="P307" s="2"/>
      <c r="Q307" s="2"/>
      <c r="R307" s="2"/>
      <c r="S307" s="4" t="s">
        <v>2784</v>
      </c>
      <c r="T307" s="2"/>
      <c r="U307" s="2">
        <v>4.2</v>
      </c>
      <c r="V307" s="2">
        <v>9</v>
      </c>
      <c r="W307" s="2"/>
      <c r="X307" s="5"/>
      <c r="Y307" s="2"/>
      <c r="Z307" s="5"/>
      <c r="AA307" s="2">
        <v>276</v>
      </c>
      <c r="AB307" s="2"/>
      <c r="AC307" s="5"/>
      <c r="AD307" s="5" t="s">
        <v>2785</v>
      </c>
      <c r="AE307" s="3"/>
      <c r="AF307" s="6"/>
      <c r="AG307" s="7"/>
      <c r="AH307" s="2">
        <v>0</v>
      </c>
      <c r="AI307" s="7"/>
      <c r="AJ307" s="3"/>
      <c r="AK307" s="8"/>
      <c r="AL307" s="2" t="str">
        <f t="shared" si="4"/>
        <v/>
      </c>
      <c r="AM307" s="2"/>
      <c r="AN307" s="2" t="s">
        <v>2786</v>
      </c>
      <c r="AO307" s="2" t="s">
        <v>2787</v>
      </c>
      <c r="AP307" s="2"/>
    </row>
    <row r="308" spans="1:42" ht="25" x14ac:dyDescent="0.35">
      <c r="A308" s="2">
        <v>307</v>
      </c>
      <c r="B308" s="2" t="s">
        <v>2180</v>
      </c>
      <c r="C308" s="2">
        <v>1</v>
      </c>
      <c r="D308" s="3" t="s">
        <v>43</v>
      </c>
      <c r="E308" s="3" t="s">
        <v>44</v>
      </c>
      <c r="F308" s="3" t="s">
        <v>679</v>
      </c>
      <c r="G308" s="2" t="s">
        <v>107</v>
      </c>
      <c r="H308" s="2" t="s">
        <v>634</v>
      </c>
      <c r="I308" s="2" t="s">
        <v>2788</v>
      </c>
      <c r="J308" s="2" t="s">
        <v>2789</v>
      </c>
      <c r="K308" s="2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5"/>
      <c r="Y308" s="2"/>
      <c r="Z308" s="5"/>
      <c r="AA308" s="2"/>
      <c r="AB308" s="2"/>
      <c r="AC308" s="5"/>
      <c r="AD308" s="5" t="s">
        <v>2790</v>
      </c>
      <c r="AE308" s="3"/>
      <c r="AF308" s="6"/>
      <c r="AG308" s="7"/>
      <c r="AH308" s="2">
        <v>0</v>
      </c>
      <c r="AI308" s="7"/>
      <c r="AJ308" s="3"/>
      <c r="AK308" s="8"/>
      <c r="AL308" s="2" t="str">
        <f t="shared" si="4"/>
        <v/>
      </c>
      <c r="AM308" s="2"/>
      <c r="AN308" s="2" t="s">
        <v>2791</v>
      </c>
      <c r="AO308" s="2" t="s">
        <v>2792</v>
      </c>
      <c r="AP308" s="2"/>
    </row>
    <row r="309" spans="1:42" ht="37.5" x14ac:dyDescent="0.35">
      <c r="A309" s="2">
        <v>308</v>
      </c>
      <c r="B309" s="2" t="s">
        <v>2180</v>
      </c>
      <c r="C309" s="2">
        <v>1</v>
      </c>
      <c r="D309" s="3" t="s">
        <v>43</v>
      </c>
      <c r="E309" s="3" t="s">
        <v>44</v>
      </c>
      <c r="F309" s="3" t="s">
        <v>679</v>
      </c>
      <c r="G309" s="2" t="s">
        <v>107</v>
      </c>
      <c r="H309" s="2" t="s">
        <v>609</v>
      </c>
      <c r="I309" s="2" t="s">
        <v>609</v>
      </c>
      <c r="J309" s="2" t="s">
        <v>2793</v>
      </c>
      <c r="K309" s="2"/>
      <c r="L309" s="3"/>
      <c r="M309" s="3"/>
      <c r="N309" s="2"/>
      <c r="O309" s="2" t="s">
        <v>2794</v>
      </c>
      <c r="P309" s="2"/>
      <c r="Q309" s="2"/>
      <c r="R309" s="2"/>
      <c r="S309" s="4" t="s">
        <v>2795</v>
      </c>
      <c r="T309" s="2"/>
      <c r="U309" s="2">
        <v>5</v>
      </c>
      <c r="V309" s="2">
        <v>1</v>
      </c>
      <c r="W309" s="2"/>
      <c r="X309" s="5"/>
      <c r="Y309" s="2" t="s">
        <v>66</v>
      </c>
      <c r="Z309" s="5" t="s">
        <v>2796</v>
      </c>
      <c r="AA309" s="2"/>
      <c r="AB309" s="2"/>
      <c r="AC309" s="5"/>
      <c r="AD309" s="5" t="s">
        <v>2797</v>
      </c>
      <c r="AE309" s="3"/>
      <c r="AF309" s="6"/>
      <c r="AG309" s="7"/>
      <c r="AH309" s="2">
        <v>0</v>
      </c>
      <c r="AI309" s="7"/>
      <c r="AJ309" s="3"/>
      <c r="AK309" s="8"/>
      <c r="AL309" s="2" t="str">
        <f t="shared" si="4"/>
        <v>Abrir WhatsApp</v>
      </c>
      <c r="AM309" s="2" t="s">
        <v>1237</v>
      </c>
      <c r="AN309" s="2" t="s">
        <v>2798</v>
      </c>
      <c r="AO309" s="2" t="s">
        <v>2799</v>
      </c>
      <c r="AP309" s="2"/>
    </row>
    <row r="310" spans="1:42" ht="62.5" x14ac:dyDescent="0.35">
      <c r="A310" s="2">
        <v>309</v>
      </c>
      <c r="B310" s="2" t="s">
        <v>2180</v>
      </c>
      <c r="C310" s="2">
        <v>1</v>
      </c>
      <c r="D310" s="3" t="s">
        <v>43</v>
      </c>
      <c r="E310" s="3" t="s">
        <v>44</v>
      </c>
      <c r="F310" s="3" t="s">
        <v>679</v>
      </c>
      <c r="G310" s="2" t="s">
        <v>107</v>
      </c>
      <c r="H310" s="2" t="s">
        <v>504</v>
      </c>
      <c r="I310" s="2" t="s">
        <v>504</v>
      </c>
      <c r="J310" s="2" t="s">
        <v>2800</v>
      </c>
      <c r="K310" s="2"/>
      <c r="L310" s="3"/>
      <c r="M310" s="3"/>
      <c r="N310" s="2"/>
      <c r="O310" s="2" t="s">
        <v>2801</v>
      </c>
      <c r="P310" s="2" t="s">
        <v>130</v>
      </c>
      <c r="Q310" s="2" t="s">
        <v>2802</v>
      </c>
      <c r="R310" s="4" t="s">
        <v>2803</v>
      </c>
      <c r="S310" s="4" t="s">
        <v>2804</v>
      </c>
      <c r="T310" s="4" t="s">
        <v>2805</v>
      </c>
      <c r="U310" s="2">
        <v>5</v>
      </c>
      <c r="V310" s="2">
        <v>82</v>
      </c>
      <c r="W310" s="2" t="s">
        <v>2806</v>
      </c>
      <c r="X310" s="5" t="s">
        <v>2807</v>
      </c>
      <c r="Y310" s="2" t="s">
        <v>66</v>
      </c>
      <c r="Z310" s="5" t="s">
        <v>2808</v>
      </c>
      <c r="AA310" s="2"/>
      <c r="AB310" s="2" t="s">
        <v>2809</v>
      </c>
      <c r="AC310" s="5"/>
      <c r="AD310" s="5" t="s">
        <v>2810</v>
      </c>
      <c r="AE310" s="3"/>
      <c r="AF310" s="6"/>
      <c r="AG310" s="7"/>
      <c r="AH310" s="2">
        <v>0</v>
      </c>
      <c r="AI310" s="7"/>
      <c r="AJ310" s="3"/>
      <c r="AK310" s="8"/>
      <c r="AL310" s="2" t="str">
        <f t="shared" si="4"/>
        <v>Abrir WhatsApp</v>
      </c>
      <c r="AM310" s="2" t="s">
        <v>2811</v>
      </c>
      <c r="AN310" s="2" t="s">
        <v>2812</v>
      </c>
      <c r="AO310" s="2" t="s">
        <v>2813</v>
      </c>
      <c r="AP310" s="2"/>
    </row>
    <row r="311" spans="1:42" ht="37.5" x14ac:dyDescent="0.35">
      <c r="A311" s="2">
        <v>310</v>
      </c>
      <c r="B311" s="2" t="s">
        <v>2180</v>
      </c>
      <c r="C311" s="2">
        <v>1</v>
      </c>
      <c r="D311" s="3" t="s">
        <v>43</v>
      </c>
      <c r="E311" s="3" t="s">
        <v>44</v>
      </c>
      <c r="F311" s="3" t="s">
        <v>679</v>
      </c>
      <c r="G311" s="2" t="s">
        <v>107</v>
      </c>
      <c r="H311" s="2" t="s">
        <v>107</v>
      </c>
      <c r="I311" s="2" t="s">
        <v>107</v>
      </c>
      <c r="J311" s="2" t="s">
        <v>2814</v>
      </c>
      <c r="K311" s="2"/>
      <c r="L311" s="3"/>
      <c r="M311" s="3"/>
      <c r="N311" s="2"/>
      <c r="O311" s="2" t="s">
        <v>2815</v>
      </c>
      <c r="P311" s="2"/>
      <c r="Q311" s="2"/>
      <c r="R311" s="2"/>
      <c r="S311" s="2"/>
      <c r="T311" s="2"/>
      <c r="U311" s="2">
        <v>5</v>
      </c>
      <c r="V311" s="2">
        <v>1</v>
      </c>
      <c r="W311" s="2"/>
      <c r="X311" s="5"/>
      <c r="Y311" s="2" t="s">
        <v>66</v>
      </c>
      <c r="Z311" s="5" t="s">
        <v>459</v>
      </c>
      <c r="AA311" s="2"/>
      <c r="AB311" s="2"/>
      <c r="AC311" s="5"/>
      <c r="AD311" s="5" t="s">
        <v>2816</v>
      </c>
      <c r="AE311" s="3"/>
      <c r="AF311" s="6"/>
      <c r="AG311" s="7"/>
      <c r="AH311" s="2">
        <v>0</v>
      </c>
      <c r="AI311" s="7"/>
      <c r="AJ311" s="3"/>
      <c r="AK311" s="8"/>
      <c r="AL311" s="2" t="str">
        <f t="shared" si="4"/>
        <v>Abrir WhatsApp</v>
      </c>
      <c r="AM311" s="2" t="s">
        <v>462</v>
      </c>
      <c r="AN311" s="2" t="s">
        <v>2817</v>
      </c>
      <c r="AO311" s="2" t="s">
        <v>2818</v>
      </c>
      <c r="AP311" s="2"/>
    </row>
    <row r="312" spans="1:42" ht="25" x14ac:dyDescent="0.35">
      <c r="A312" s="2">
        <v>311</v>
      </c>
      <c r="B312" s="2" t="s">
        <v>2180</v>
      </c>
      <c r="C312" s="2">
        <v>1</v>
      </c>
      <c r="D312" s="3" t="s">
        <v>43</v>
      </c>
      <c r="E312" s="3" t="s">
        <v>44</v>
      </c>
      <c r="F312" s="3" t="s">
        <v>679</v>
      </c>
      <c r="G312" s="2" t="s">
        <v>107</v>
      </c>
      <c r="H312" s="2" t="s">
        <v>2819</v>
      </c>
      <c r="I312" s="2" t="s">
        <v>2819</v>
      </c>
      <c r="J312" s="2" t="s">
        <v>2820</v>
      </c>
      <c r="K312" s="2"/>
      <c r="L312" s="3"/>
      <c r="M312" s="3"/>
      <c r="N312" s="2" t="s">
        <v>2821</v>
      </c>
      <c r="O312" s="2"/>
      <c r="P312" s="2"/>
      <c r="Q312" s="2"/>
      <c r="R312" s="2"/>
      <c r="S312" s="2"/>
      <c r="T312" s="2"/>
      <c r="U312" s="2"/>
      <c r="V312" s="2"/>
      <c r="W312" s="2"/>
      <c r="X312" s="5"/>
      <c r="Y312" s="2"/>
      <c r="Z312" s="5"/>
      <c r="AA312" s="2"/>
      <c r="AB312" s="2"/>
      <c r="AC312" s="5"/>
      <c r="AD312" s="5" t="s">
        <v>2822</v>
      </c>
      <c r="AE312" s="3"/>
      <c r="AF312" s="6"/>
      <c r="AG312" s="7"/>
      <c r="AH312" s="2">
        <v>0</v>
      </c>
      <c r="AI312" s="7"/>
      <c r="AJ312" s="3"/>
      <c r="AK312" s="8"/>
      <c r="AL312" s="2" t="str">
        <f t="shared" si="4"/>
        <v/>
      </c>
      <c r="AM312" s="2" t="s">
        <v>1042</v>
      </c>
      <c r="AN312" s="2" t="s">
        <v>2823</v>
      </c>
      <c r="AO312" s="2" t="s">
        <v>2824</v>
      </c>
      <c r="AP312" s="2"/>
    </row>
    <row r="313" spans="1:42" ht="37.5" x14ac:dyDescent="0.35">
      <c r="A313" s="2">
        <v>312</v>
      </c>
      <c r="B313" s="2" t="s">
        <v>2180</v>
      </c>
      <c r="C313" s="2">
        <v>1</v>
      </c>
      <c r="D313" s="3" t="s">
        <v>43</v>
      </c>
      <c r="E313" s="3" t="s">
        <v>44</v>
      </c>
      <c r="F313" s="3" t="s">
        <v>679</v>
      </c>
      <c r="G313" s="2" t="s">
        <v>107</v>
      </c>
      <c r="H313" s="2" t="s">
        <v>1472</v>
      </c>
      <c r="I313" s="2" t="s">
        <v>1472</v>
      </c>
      <c r="J313" s="2" t="s">
        <v>2825</v>
      </c>
      <c r="K313" s="2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5"/>
      <c r="Y313" s="2"/>
      <c r="Z313" s="5"/>
      <c r="AA313" s="2"/>
      <c r="AB313" s="2"/>
      <c r="AC313" s="5"/>
      <c r="AD313" s="5" t="s">
        <v>2826</v>
      </c>
      <c r="AE313" s="3"/>
      <c r="AF313" s="6"/>
      <c r="AG313" s="7"/>
      <c r="AH313" s="2">
        <v>0</v>
      </c>
      <c r="AI313" s="7"/>
      <c r="AJ313" s="3"/>
      <c r="AK313" s="8"/>
      <c r="AL313" s="2" t="str">
        <f t="shared" si="4"/>
        <v/>
      </c>
      <c r="AM313" s="2"/>
      <c r="AN313" s="2" t="s">
        <v>2827</v>
      </c>
      <c r="AO313" s="2" t="s">
        <v>2828</v>
      </c>
      <c r="AP313" s="2"/>
    </row>
    <row r="314" spans="1:42" ht="37.5" x14ac:dyDescent="0.35">
      <c r="A314" s="2">
        <v>313</v>
      </c>
      <c r="B314" s="2" t="s">
        <v>2180</v>
      </c>
      <c r="C314" s="2">
        <v>1</v>
      </c>
      <c r="D314" s="3" t="s">
        <v>43</v>
      </c>
      <c r="E314" s="3" t="s">
        <v>44</v>
      </c>
      <c r="F314" s="3" t="s">
        <v>679</v>
      </c>
      <c r="G314" s="2" t="s">
        <v>207</v>
      </c>
      <c r="H314" s="2" t="s">
        <v>2829</v>
      </c>
      <c r="I314" s="2" t="s">
        <v>2830</v>
      </c>
      <c r="J314" s="2" t="s">
        <v>2831</v>
      </c>
      <c r="K314" s="2"/>
      <c r="L314" s="3"/>
      <c r="M314" s="3"/>
      <c r="N314" s="2" t="s">
        <v>2832</v>
      </c>
      <c r="O314" s="2"/>
      <c r="P314" s="2"/>
      <c r="Q314" s="2" t="s">
        <v>2833</v>
      </c>
      <c r="R314" s="4" t="s">
        <v>2834</v>
      </c>
      <c r="S314" s="2"/>
      <c r="T314" s="2"/>
      <c r="U314" s="2"/>
      <c r="V314" s="2"/>
      <c r="W314" s="2"/>
      <c r="X314" s="5" t="s">
        <v>213</v>
      </c>
      <c r="Y314" s="2"/>
      <c r="Z314" s="5"/>
      <c r="AA314" s="2">
        <v>128</v>
      </c>
      <c r="AB314" s="2"/>
      <c r="AC314" s="5"/>
      <c r="AD314" s="5" t="s">
        <v>2835</v>
      </c>
      <c r="AE314" s="3"/>
      <c r="AF314" s="6"/>
      <c r="AG314" s="7"/>
      <c r="AH314" s="2">
        <v>0</v>
      </c>
      <c r="AI314" s="7"/>
      <c r="AJ314" s="3"/>
      <c r="AK314" s="8"/>
      <c r="AL314" s="2" t="str">
        <f t="shared" si="4"/>
        <v/>
      </c>
      <c r="AM314" s="2" t="s">
        <v>2836</v>
      </c>
      <c r="AN314" s="2" t="s">
        <v>2837</v>
      </c>
      <c r="AO314" s="2" t="s">
        <v>2838</v>
      </c>
      <c r="AP314" s="2"/>
    </row>
    <row r="315" spans="1:42" ht="50" x14ac:dyDescent="0.35">
      <c r="A315" s="2">
        <v>314</v>
      </c>
      <c r="B315" s="2" t="s">
        <v>2180</v>
      </c>
      <c r="C315" s="2">
        <v>1</v>
      </c>
      <c r="D315" s="3" t="s">
        <v>43</v>
      </c>
      <c r="E315" s="3" t="s">
        <v>44</v>
      </c>
      <c r="F315" s="3" t="s">
        <v>679</v>
      </c>
      <c r="G315" s="2" t="s">
        <v>207</v>
      </c>
      <c r="H315" s="2" t="s">
        <v>1941</v>
      </c>
      <c r="I315" s="2" t="s">
        <v>1941</v>
      </c>
      <c r="J315" s="2" t="s">
        <v>2839</v>
      </c>
      <c r="K315" s="2"/>
      <c r="L315" s="3"/>
      <c r="M315" s="3"/>
      <c r="N315" s="2"/>
      <c r="O315" s="2" t="s">
        <v>2840</v>
      </c>
      <c r="P315" s="2"/>
      <c r="Q315" s="2"/>
      <c r="R315" s="2"/>
      <c r="S315" s="4" t="s">
        <v>2841</v>
      </c>
      <c r="T315" s="2"/>
      <c r="U315" s="2">
        <v>5</v>
      </c>
      <c r="V315" s="2">
        <v>5</v>
      </c>
      <c r="W315" s="2"/>
      <c r="X315" s="5"/>
      <c r="Y315" s="2" t="s">
        <v>66</v>
      </c>
      <c r="Z315" s="5" t="s">
        <v>2842</v>
      </c>
      <c r="AA315" s="2">
        <v>124</v>
      </c>
      <c r="AB315" s="2"/>
      <c r="AC315" s="5"/>
      <c r="AD315" s="5" t="s">
        <v>2843</v>
      </c>
      <c r="AE315" s="3"/>
      <c r="AF315" s="6"/>
      <c r="AG315" s="7"/>
      <c r="AH315" s="2">
        <v>0</v>
      </c>
      <c r="AI315" s="7"/>
      <c r="AJ315" s="3"/>
      <c r="AK315" s="8"/>
      <c r="AL315" s="2" t="str">
        <f t="shared" si="4"/>
        <v>Abrir WhatsApp</v>
      </c>
      <c r="AM315" s="2"/>
      <c r="AN315" s="2" t="s">
        <v>2844</v>
      </c>
      <c r="AO315" s="2" t="s">
        <v>2845</v>
      </c>
      <c r="AP315" s="2"/>
    </row>
    <row r="316" spans="1:42" ht="37.5" x14ac:dyDescent="0.35">
      <c r="A316" s="2">
        <v>315</v>
      </c>
      <c r="B316" s="2" t="s">
        <v>2180</v>
      </c>
      <c r="C316" s="2">
        <v>1</v>
      </c>
      <c r="D316" s="3" t="s">
        <v>43</v>
      </c>
      <c r="E316" s="3" t="s">
        <v>44</v>
      </c>
      <c r="F316" s="3" t="s">
        <v>679</v>
      </c>
      <c r="G316" s="2" t="s">
        <v>207</v>
      </c>
      <c r="H316" s="2" t="s">
        <v>1065</v>
      </c>
      <c r="I316" s="2" t="s">
        <v>1065</v>
      </c>
      <c r="J316" s="2" t="s">
        <v>2846</v>
      </c>
      <c r="K316" s="2"/>
      <c r="L316" s="3"/>
      <c r="M316" s="3"/>
      <c r="N316" s="2" t="s">
        <v>2847</v>
      </c>
      <c r="O316" s="2"/>
      <c r="P316" s="2"/>
      <c r="Q316" s="2" t="s">
        <v>2848</v>
      </c>
      <c r="R316" s="4" t="s">
        <v>2849</v>
      </c>
      <c r="S316" s="4" t="s">
        <v>2850</v>
      </c>
      <c r="T316" s="2"/>
      <c r="U316" s="2">
        <v>4.8</v>
      </c>
      <c r="V316" s="2">
        <v>16</v>
      </c>
      <c r="W316" s="2"/>
      <c r="X316" s="5" t="s">
        <v>213</v>
      </c>
      <c r="Y316" s="2" t="s">
        <v>66</v>
      </c>
      <c r="Z316" s="5" t="s">
        <v>2851</v>
      </c>
      <c r="AA316" s="2">
        <v>131</v>
      </c>
      <c r="AB316" s="2"/>
      <c r="AC316" s="5"/>
      <c r="AD316" s="5" t="s">
        <v>2852</v>
      </c>
      <c r="AE316" s="3"/>
      <c r="AF316" s="6"/>
      <c r="AG316" s="7"/>
      <c r="AH316" s="2">
        <v>0</v>
      </c>
      <c r="AI316" s="7"/>
      <c r="AJ316" s="3"/>
      <c r="AK316" s="8"/>
      <c r="AL316" s="2" t="str">
        <f t="shared" si="4"/>
        <v/>
      </c>
      <c r="AM316" s="2" t="s">
        <v>2853</v>
      </c>
      <c r="AN316" s="2" t="s">
        <v>2854</v>
      </c>
      <c r="AO316" s="2" t="s">
        <v>2855</v>
      </c>
      <c r="AP316" s="2"/>
    </row>
    <row r="317" spans="1:42" ht="37.5" x14ac:dyDescent="0.35">
      <c r="A317" s="2">
        <v>316</v>
      </c>
      <c r="B317" s="2" t="s">
        <v>2180</v>
      </c>
      <c r="C317" s="2">
        <v>1</v>
      </c>
      <c r="D317" s="3" t="s">
        <v>43</v>
      </c>
      <c r="E317" s="3" t="s">
        <v>44</v>
      </c>
      <c r="F317" s="3" t="s">
        <v>679</v>
      </c>
      <c r="G317" s="2" t="s">
        <v>207</v>
      </c>
      <c r="H317" s="2" t="s">
        <v>207</v>
      </c>
      <c r="I317" s="2" t="s">
        <v>798</v>
      </c>
      <c r="J317" s="2" t="s">
        <v>2856</v>
      </c>
      <c r="K317" s="2"/>
      <c r="L317" s="3"/>
      <c r="M317" s="3"/>
      <c r="N317" s="2" t="s">
        <v>2857</v>
      </c>
      <c r="O317" s="2"/>
      <c r="P317" s="2"/>
      <c r="Q317" s="2"/>
      <c r="R317" s="2"/>
      <c r="S317" s="4" t="s">
        <v>2858</v>
      </c>
      <c r="T317" s="2"/>
      <c r="U317" s="2"/>
      <c r="V317" s="2"/>
      <c r="W317" s="2"/>
      <c r="X317" s="5" t="s">
        <v>213</v>
      </c>
      <c r="Y317" s="2"/>
      <c r="Z317" s="5"/>
      <c r="AA317" s="2">
        <v>115</v>
      </c>
      <c r="AB317" s="2"/>
      <c r="AC317" s="5"/>
      <c r="AD317" s="5" t="s">
        <v>2859</v>
      </c>
      <c r="AE317" s="3"/>
      <c r="AF317" s="6"/>
      <c r="AG317" s="7"/>
      <c r="AH317" s="2">
        <v>0</v>
      </c>
      <c r="AI317" s="7"/>
      <c r="AJ317" s="3"/>
      <c r="AK317" s="8"/>
      <c r="AL317" s="2" t="str">
        <f t="shared" si="4"/>
        <v/>
      </c>
      <c r="AM317" s="2"/>
      <c r="AN317" s="2" t="s">
        <v>2860</v>
      </c>
      <c r="AO317" s="2" t="s">
        <v>2861</v>
      </c>
      <c r="AP317" s="2"/>
    </row>
    <row r="318" spans="1:42" ht="37.5" x14ac:dyDescent="0.35">
      <c r="A318" s="2">
        <v>317</v>
      </c>
      <c r="B318" s="2" t="s">
        <v>2180</v>
      </c>
      <c r="C318" s="2">
        <v>1</v>
      </c>
      <c r="D318" s="3" t="s">
        <v>43</v>
      </c>
      <c r="E318" s="3" t="s">
        <v>44</v>
      </c>
      <c r="F318" s="3" t="s">
        <v>679</v>
      </c>
      <c r="G318" s="2" t="s">
        <v>393</v>
      </c>
      <c r="H318" s="2" t="s">
        <v>643</v>
      </c>
      <c r="I318" s="2" t="s">
        <v>643</v>
      </c>
      <c r="J318" s="2" t="s">
        <v>2862</v>
      </c>
      <c r="K318" s="2"/>
      <c r="L318" s="3"/>
      <c r="M318" s="3"/>
      <c r="N318" s="2" t="s">
        <v>2863</v>
      </c>
      <c r="O318" s="2" t="s">
        <v>2864</v>
      </c>
      <c r="P318" s="2"/>
      <c r="Q318" s="2"/>
      <c r="R318" s="4" t="s">
        <v>2865</v>
      </c>
      <c r="S318" s="4" t="s">
        <v>2866</v>
      </c>
      <c r="T318" s="4" t="s">
        <v>2867</v>
      </c>
      <c r="U318" s="2">
        <v>5</v>
      </c>
      <c r="V318" s="2">
        <v>14</v>
      </c>
      <c r="W318" s="2"/>
      <c r="X318" s="5"/>
      <c r="Y318" s="2" t="s">
        <v>66</v>
      </c>
      <c r="Z318" s="5" t="s">
        <v>2868</v>
      </c>
      <c r="AA318" s="2">
        <v>258</v>
      </c>
      <c r="AB318" s="2"/>
      <c r="AC318" s="5"/>
      <c r="AD318" s="5" t="s">
        <v>2869</v>
      </c>
      <c r="AE318" s="3"/>
      <c r="AF318" s="6"/>
      <c r="AG318" s="7"/>
      <c r="AH318" s="2">
        <v>0</v>
      </c>
      <c r="AI318" s="7"/>
      <c r="AJ318" s="3"/>
      <c r="AK318" s="8"/>
      <c r="AL318" s="2" t="str">
        <f t="shared" si="4"/>
        <v>Abrir WhatsApp</v>
      </c>
      <c r="AM318" s="2" t="s">
        <v>2870</v>
      </c>
      <c r="AN318" s="2" t="s">
        <v>2871</v>
      </c>
      <c r="AO318" s="2" t="s">
        <v>2872</v>
      </c>
      <c r="AP318" s="2"/>
    </row>
    <row r="319" spans="1:42" ht="37.5" x14ac:dyDescent="0.35">
      <c r="A319" s="2">
        <v>318</v>
      </c>
      <c r="B319" s="2" t="s">
        <v>2180</v>
      </c>
      <c r="C319" s="2">
        <v>1</v>
      </c>
      <c r="D319" s="3" t="s">
        <v>43</v>
      </c>
      <c r="E319" s="3" t="s">
        <v>44</v>
      </c>
      <c r="F319" s="3" t="s">
        <v>679</v>
      </c>
      <c r="G319" s="2" t="s">
        <v>393</v>
      </c>
      <c r="H319" s="2" t="s">
        <v>1320</v>
      </c>
      <c r="I319" s="2" t="s">
        <v>2873</v>
      </c>
      <c r="J319" s="2" t="s">
        <v>2874</v>
      </c>
      <c r="K319" s="2"/>
      <c r="L319" s="3"/>
      <c r="M319" s="3"/>
      <c r="N319" s="2" t="s">
        <v>2875</v>
      </c>
      <c r="O319" s="2" t="s">
        <v>2876</v>
      </c>
      <c r="P319" s="2"/>
      <c r="Q319" s="2" t="s">
        <v>2877</v>
      </c>
      <c r="R319" s="2"/>
      <c r="S319" s="4" t="s">
        <v>2878</v>
      </c>
      <c r="T319" s="2"/>
      <c r="U319" s="2">
        <v>4.9000000000000004</v>
      </c>
      <c r="V319" s="2">
        <v>9</v>
      </c>
      <c r="W319" s="2"/>
      <c r="X319" s="5" t="s">
        <v>747</v>
      </c>
      <c r="Y319" s="2"/>
      <c r="Z319" s="5"/>
      <c r="AA319" s="2">
        <v>260</v>
      </c>
      <c r="AB319" s="2"/>
      <c r="AC319" s="5"/>
      <c r="AD319" s="5" t="s">
        <v>2879</v>
      </c>
      <c r="AE319" s="3"/>
      <c r="AF319" s="6"/>
      <c r="AG319" s="7"/>
      <c r="AH319" s="2">
        <v>0</v>
      </c>
      <c r="AI319" s="7"/>
      <c r="AJ319" s="3"/>
      <c r="AK319" s="8"/>
      <c r="AL319" s="2" t="str">
        <f t="shared" si="4"/>
        <v>Abrir WhatsApp</v>
      </c>
      <c r="AM319" s="2" t="s">
        <v>2126</v>
      </c>
      <c r="AN319" s="2" t="s">
        <v>2880</v>
      </c>
      <c r="AO319" s="2" t="s">
        <v>2881</v>
      </c>
      <c r="AP319" s="2"/>
    </row>
    <row r="320" spans="1:42" ht="62.5" x14ac:dyDescent="0.35">
      <c r="A320" s="2">
        <v>319</v>
      </c>
      <c r="B320" s="2" t="s">
        <v>2180</v>
      </c>
      <c r="C320" s="2">
        <v>1</v>
      </c>
      <c r="D320" s="3" t="s">
        <v>43</v>
      </c>
      <c r="E320" s="3" t="s">
        <v>44</v>
      </c>
      <c r="F320" s="3" t="s">
        <v>679</v>
      </c>
      <c r="G320" s="2" t="s">
        <v>393</v>
      </c>
      <c r="H320" s="2" t="s">
        <v>2882</v>
      </c>
      <c r="I320" s="2" t="s">
        <v>2882</v>
      </c>
      <c r="J320" s="2" t="s">
        <v>2883</v>
      </c>
      <c r="K320" s="2"/>
      <c r="L320" s="3"/>
      <c r="M320" s="3"/>
      <c r="N320" s="2" t="s">
        <v>2884</v>
      </c>
      <c r="O320" s="2" t="s">
        <v>2885</v>
      </c>
      <c r="P320" s="2"/>
      <c r="Q320" s="2"/>
      <c r="R320" s="2"/>
      <c r="S320" s="4" t="s">
        <v>2886</v>
      </c>
      <c r="T320" s="2"/>
      <c r="U320" s="2"/>
      <c r="V320" s="2"/>
      <c r="W320" s="2"/>
      <c r="X320" s="5"/>
      <c r="Y320" s="2"/>
      <c r="Z320" s="5"/>
      <c r="AA320" s="2">
        <v>246</v>
      </c>
      <c r="AB320" s="2" t="s">
        <v>2887</v>
      </c>
      <c r="AC320" s="5"/>
      <c r="AD320" s="5" t="s">
        <v>2888</v>
      </c>
      <c r="AE320" s="3"/>
      <c r="AF320" s="6"/>
      <c r="AG320" s="7"/>
      <c r="AH320" s="2">
        <v>0</v>
      </c>
      <c r="AI320" s="7"/>
      <c r="AJ320" s="3"/>
      <c r="AK320" s="8"/>
      <c r="AL320" s="2" t="str">
        <f t="shared" si="4"/>
        <v>Abrir WhatsApp</v>
      </c>
      <c r="AM320" s="2" t="s">
        <v>2889</v>
      </c>
      <c r="AN320" s="2" t="s">
        <v>2890</v>
      </c>
      <c r="AO320" s="2" t="s">
        <v>2891</v>
      </c>
      <c r="AP320" s="2"/>
    </row>
    <row r="321" spans="1:42" ht="50" x14ac:dyDescent="0.35">
      <c r="A321" s="2">
        <v>320</v>
      </c>
      <c r="B321" s="2" t="s">
        <v>2180</v>
      </c>
      <c r="C321" s="2">
        <v>1</v>
      </c>
      <c r="D321" s="3" t="s">
        <v>43</v>
      </c>
      <c r="E321" s="3" t="s">
        <v>44</v>
      </c>
      <c r="F321" s="3" t="s">
        <v>679</v>
      </c>
      <c r="G321" s="2" t="s">
        <v>393</v>
      </c>
      <c r="H321" s="2" t="s">
        <v>1858</v>
      </c>
      <c r="I321" s="2" t="s">
        <v>1858</v>
      </c>
      <c r="J321" s="2" t="s">
        <v>2892</v>
      </c>
      <c r="K321" s="2"/>
      <c r="L321" s="3"/>
      <c r="M321" s="3"/>
      <c r="N321" s="2" t="s">
        <v>2893</v>
      </c>
      <c r="O321" s="2"/>
      <c r="P321" s="2"/>
      <c r="Q321" s="2"/>
      <c r="R321" s="2"/>
      <c r="S321" s="2"/>
      <c r="T321" s="2"/>
      <c r="U321" s="2"/>
      <c r="V321" s="2"/>
      <c r="W321" s="2"/>
      <c r="X321" s="5"/>
      <c r="Y321" s="2"/>
      <c r="Z321" s="5"/>
      <c r="AA321" s="2">
        <v>249</v>
      </c>
      <c r="AB321" s="2"/>
      <c r="AC321" s="5"/>
      <c r="AD321" s="5" t="s">
        <v>2894</v>
      </c>
      <c r="AE321" s="3"/>
      <c r="AF321" s="6"/>
      <c r="AG321" s="7"/>
      <c r="AH321" s="2">
        <v>0</v>
      </c>
      <c r="AI321" s="7"/>
      <c r="AJ321" s="3"/>
      <c r="AK321" s="8"/>
      <c r="AL321" s="2" t="str">
        <f t="shared" si="4"/>
        <v/>
      </c>
      <c r="AM321" s="2"/>
      <c r="AN321" s="2" t="s">
        <v>2895</v>
      </c>
      <c r="AO321" s="2" t="s">
        <v>2896</v>
      </c>
      <c r="AP321" s="2"/>
    </row>
    <row r="322" spans="1:42" ht="37.5" x14ac:dyDescent="0.35">
      <c r="A322" s="2">
        <v>321</v>
      </c>
      <c r="B322" s="2" t="s">
        <v>2180</v>
      </c>
      <c r="C322" s="2">
        <v>1</v>
      </c>
      <c r="D322" s="3" t="s">
        <v>43</v>
      </c>
      <c r="E322" s="3" t="s">
        <v>44</v>
      </c>
      <c r="F322" s="3" t="s">
        <v>679</v>
      </c>
      <c r="G322" s="2" t="s">
        <v>991</v>
      </c>
      <c r="H322" s="2" t="s">
        <v>991</v>
      </c>
      <c r="I322" s="2" t="s">
        <v>991</v>
      </c>
      <c r="J322" s="2" t="s">
        <v>2897</v>
      </c>
      <c r="K322" s="2"/>
      <c r="L322" s="3"/>
      <c r="M322" s="3"/>
      <c r="N322" s="2" t="s">
        <v>2898</v>
      </c>
      <c r="O322" s="2" t="s">
        <v>2899</v>
      </c>
      <c r="P322" s="2"/>
      <c r="Q322" s="2" t="s">
        <v>2900</v>
      </c>
      <c r="R322" s="2"/>
      <c r="S322" s="4" t="s">
        <v>2901</v>
      </c>
      <c r="T322" s="2"/>
      <c r="U322" s="2">
        <v>4.4000000000000004</v>
      </c>
      <c r="V322" s="2">
        <v>18</v>
      </c>
      <c r="W322" s="2"/>
      <c r="X322" s="5"/>
      <c r="Y322" s="2" t="s">
        <v>66</v>
      </c>
      <c r="Z322" s="5" t="s">
        <v>2902</v>
      </c>
      <c r="AA322" s="2">
        <v>254</v>
      </c>
      <c r="AB322" s="2"/>
      <c r="AC322" s="5"/>
      <c r="AD322" s="5" t="s">
        <v>2903</v>
      </c>
      <c r="AE322" s="3"/>
      <c r="AF322" s="6"/>
      <c r="AG322" s="7"/>
      <c r="AH322" s="2">
        <v>0</v>
      </c>
      <c r="AI322" s="7"/>
      <c r="AJ322" s="3"/>
      <c r="AK322" s="8"/>
      <c r="AL322" s="2" t="str">
        <f t="shared" ref="AL322:AL385" si="5">IF(IF(O322&lt;&gt;"",O322,IF(LEFT(TRIM(N322),1)="9",N322,""))="","",HYPERLINK("https://wa.me/351"&amp;LEFT(SUBSTITUTE(SUBSTITUTE(SUBSTITUTE(IF(O322&lt;&gt;"",O322,IF(LEFT(TRIM(N322),1)="9",N322,""))," ",""),"+351",""),"-",""),9),"Abrir WhatsApp"))</f>
        <v>Abrir WhatsApp</v>
      </c>
      <c r="AM322" s="2" t="s">
        <v>2904</v>
      </c>
      <c r="AN322" s="2" t="s">
        <v>2905</v>
      </c>
      <c r="AO322" s="2" t="s">
        <v>2906</v>
      </c>
      <c r="AP322" s="2"/>
    </row>
    <row r="323" spans="1:42" ht="25" x14ac:dyDescent="0.35">
      <c r="A323" s="2">
        <v>322</v>
      </c>
      <c r="B323" s="2" t="s">
        <v>2180</v>
      </c>
      <c r="C323" s="2">
        <v>1</v>
      </c>
      <c r="D323" s="3" t="s">
        <v>43</v>
      </c>
      <c r="E323" s="3" t="s">
        <v>44</v>
      </c>
      <c r="F323" s="3" t="s">
        <v>679</v>
      </c>
      <c r="G323" s="2" t="s">
        <v>991</v>
      </c>
      <c r="H323" s="2" t="s">
        <v>991</v>
      </c>
      <c r="I323" s="2" t="s">
        <v>991</v>
      </c>
      <c r="J323" s="2" t="s">
        <v>2907</v>
      </c>
      <c r="K323" s="2"/>
      <c r="L323" s="3"/>
      <c r="M323" s="3"/>
      <c r="N323" s="2" t="s">
        <v>2908</v>
      </c>
      <c r="O323" s="2"/>
      <c r="P323" s="2"/>
      <c r="Q323" s="2"/>
      <c r="R323" s="2"/>
      <c r="S323" s="4" t="s">
        <v>2909</v>
      </c>
      <c r="T323" s="2"/>
      <c r="U323" s="2">
        <v>4.7</v>
      </c>
      <c r="V323" s="2">
        <v>14</v>
      </c>
      <c r="W323" s="2"/>
      <c r="X323" s="5"/>
      <c r="Y323" s="2" t="s">
        <v>118</v>
      </c>
      <c r="Z323" s="5" t="s">
        <v>2910</v>
      </c>
      <c r="AA323" s="2">
        <v>244</v>
      </c>
      <c r="AB323" s="2"/>
      <c r="AC323" s="5"/>
      <c r="AD323" s="5" t="s">
        <v>2911</v>
      </c>
      <c r="AE323" s="3"/>
      <c r="AF323" s="6"/>
      <c r="AG323" s="7"/>
      <c r="AH323" s="2">
        <v>0</v>
      </c>
      <c r="AI323" s="7"/>
      <c r="AJ323" s="3"/>
      <c r="AK323" s="8"/>
      <c r="AL323" s="2" t="str">
        <f t="shared" si="5"/>
        <v/>
      </c>
      <c r="AM323" s="2"/>
      <c r="AN323" s="2" t="s">
        <v>2912</v>
      </c>
      <c r="AO323" s="2" t="s">
        <v>2913</v>
      </c>
      <c r="AP323" s="2"/>
    </row>
    <row r="324" spans="1:42" x14ac:dyDescent="0.35">
      <c r="A324" s="2">
        <v>323</v>
      </c>
      <c r="B324" s="2" t="s">
        <v>2180</v>
      </c>
      <c r="C324" s="2">
        <v>1</v>
      </c>
      <c r="D324" s="3" t="s">
        <v>43</v>
      </c>
      <c r="E324" s="3" t="s">
        <v>44</v>
      </c>
      <c r="F324" s="3" t="s">
        <v>679</v>
      </c>
      <c r="G324" s="2" t="s">
        <v>991</v>
      </c>
      <c r="H324" s="2" t="s">
        <v>2914</v>
      </c>
      <c r="I324" s="2" t="s">
        <v>2915</v>
      </c>
      <c r="J324" s="2" t="s">
        <v>2916</v>
      </c>
      <c r="K324" s="2"/>
      <c r="L324" s="3"/>
      <c r="M324" s="3"/>
      <c r="N324" s="2" t="s">
        <v>2917</v>
      </c>
      <c r="O324" s="2"/>
      <c r="P324" s="2"/>
      <c r="Q324" s="2"/>
      <c r="R324" s="2"/>
      <c r="S324" s="4" t="s">
        <v>2918</v>
      </c>
      <c r="T324" s="2"/>
      <c r="U324" s="2">
        <v>4.9000000000000004</v>
      </c>
      <c r="V324" s="2">
        <v>18</v>
      </c>
      <c r="W324" s="2"/>
      <c r="X324" s="5"/>
      <c r="Y324" s="2"/>
      <c r="Z324" s="5"/>
      <c r="AA324" s="2">
        <v>255</v>
      </c>
      <c r="AB324" s="2"/>
      <c r="AC324" s="5"/>
      <c r="AD324" s="5" t="s">
        <v>2919</v>
      </c>
      <c r="AE324" s="3"/>
      <c r="AF324" s="6"/>
      <c r="AG324" s="7"/>
      <c r="AH324" s="2">
        <v>0</v>
      </c>
      <c r="AI324" s="7"/>
      <c r="AJ324" s="3"/>
      <c r="AK324" s="8"/>
      <c r="AL324" s="2" t="str">
        <f t="shared" si="5"/>
        <v/>
      </c>
      <c r="AM324" s="2"/>
      <c r="AN324" s="2" t="s">
        <v>2920</v>
      </c>
      <c r="AO324" s="2" t="s">
        <v>2921</v>
      </c>
      <c r="AP324" s="2"/>
    </row>
    <row r="325" spans="1:42" ht="25" x14ac:dyDescent="0.35">
      <c r="A325" s="2">
        <v>324</v>
      </c>
      <c r="B325" s="2" t="s">
        <v>2180</v>
      </c>
      <c r="C325" s="2">
        <v>1</v>
      </c>
      <c r="D325" s="3" t="s">
        <v>43</v>
      </c>
      <c r="E325" s="3" t="s">
        <v>44</v>
      </c>
      <c r="F325" s="3" t="s">
        <v>679</v>
      </c>
      <c r="G325" s="2" t="s">
        <v>991</v>
      </c>
      <c r="H325" s="2" t="s">
        <v>1148</v>
      </c>
      <c r="I325" s="2" t="s">
        <v>2922</v>
      </c>
      <c r="J325" s="2" t="s">
        <v>2923</v>
      </c>
      <c r="K325" s="2"/>
      <c r="L325" s="3"/>
      <c r="M325" s="3"/>
      <c r="N325" s="2" t="s">
        <v>2924</v>
      </c>
      <c r="O325" s="2"/>
      <c r="P325" s="2"/>
      <c r="Q325" s="2" t="s">
        <v>2925</v>
      </c>
      <c r="R325" s="2"/>
      <c r="S325" s="2"/>
      <c r="T325" s="2"/>
      <c r="U325" s="2">
        <v>5</v>
      </c>
      <c r="V325" s="2">
        <v>11</v>
      </c>
      <c r="W325" s="2"/>
      <c r="X325" s="5"/>
      <c r="Y325" s="2" t="s">
        <v>66</v>
      </c>
      <c r="Z325" s="5" t="s">
        <v>2926</v>
      </c>
      <c r="AA325" s="2">
        <v>238</v>
      </c>
      <c r="AB325" s="2"/>
      <c r="AC325" s="5"/>
      <c r="AD325" s="5" t="s">
        <v>2927</v>
      </c>
      <c r="AE325" s="3"/>
      <c r="AF325" s="6"/>
      <c r="AG325" s="7"/>
      <c r="AH325" s="2">
        <v>0</v>
      </c>
      <c r="AI325" s="7"/>
      <c r="AJ325" s="3"/>
      <c r="AK325" s="8"/>
      <c r="AL325" s="2" t="str">
        <f t="shared" si="5"/>
        <v/>
      </c>
      <c r="AM325" s="2"/>
      <c r="AN325" s="2" t="s">
        <v>2928</v>
      </c>
      <c r="AO325" s="2" t="s">
        <v>2929</v>
      </c>
      <c r="AP325" s="2"/>
    </row>
    <row r="326" spans="1:42" ht="37.5" x14ac:dyDescent="0.35">
      <c r="A326" s="2">
        <v>325</v>
      </c>
      <c r="B326" s="2" t="s">
        <v>2180</v>
      </c>
      <c r="C326" s="2">
        <v>1</v>
      </c>
      <c r="D326" s="3" t="s">
        <v>43</v>
      </c>
      <c r="E326" s="3" t="s">
        <v>44</v>
      </c>
      <c r="F326" s="3" t="s">
        <v>679</v>
      </c>
      <c r="G326" s="2" t="s">
        <v>1159</v>
      </c>
      <c r="H326" s="2" t="s">
        <v>2129</v>
      </c>
      <c r="I326" s="2" t="s">
        <v>2129</v>
      </c>
      <c r="J326" s="2" t="s">
        <v>2930</v>
      </c>
      <c r="K326" s="2"/>
      <c r="L326" s="3"/>
      <c r="M326" s="3"/>
      <c r="N326" s="2" t="s">
        <v>2931</v>
      </c>
      <c r="O326" s="2"/>
      <c r="P326" s="2"/>
      <c r="Q326" s="2" t="s">
        <v>2932</v>
      </c>
      <c r="R326" s="2"/>
      <c r="S326" s="4" t="s">
        <v>2933</v>
      </c>
      <c r="T326" s="2"/>
      <c r="U326" s="2">
        <v>5</v>
      </c>
      <c r="V326" s="2">
        <v>5</v>
      </c>
      <c r="W326" s="2"/>
      <c r="X326" s="5"/>
      <c r="Y326" s="2" t="s">
        <v>66</v>
      </c>
      <c r="Z326" s="5" t="s">
        <v>2934</v>
      </c>
      <c r="AA326" s="2">
        <v>253</v>
      </c>
      <c r="AB326" s="2"/>
      <c r="AC326" s="5"/>
      <c r="AD326" s="5" t="s">
        <v>2785</v>
      </c>
      <c r="AE326" s="3"/>
      <c r="AF326" s="6"/>
      <c r="AG326" s="7"/>
      <c r="AH326" s="2">
        <v>0</v>
      </c>
      <c r="AI326" s="7"/>
      <c r="AJ326" s="3"/>
      <c r="AK326" s="8"/>
      <c r="AL326" s="2" t="str">
        <f t="shared" si="5"/>
        <v/>
      </c>
      <c r="AM326" s="2"/>
      <c r="AN326" s="2" t="s">
        <v>2935</v>
      </c>
      <c r="AO326" s="2" t="s">
        <v>2936</v>
      </c>
      <c r="AP326" s="2"/>
    </row>
    <row r="327" spans="1:42" ht="50" x14ac:dyDescent="0.35">
      <c r="A327" s="2">
        <v>326</v>
      </c>
      <c r="B327" s="2" t="s">
        <v>2180</v>
      </c>
      <c r="C327" s="2">
        <v>0.9</v>
      </c>
      <c r="D327" s="3" t="s">
        <v>43</v>
      </c>
      <c r="E327" s="3" t="s">
        <v>44</v>
      </c>
      <c r="F327" s="3" t="s">
        <v>679</v>
      </c>
      <c r="G327" s="2" t="s">
        <v>393</v>
      </c>
      <c r="H327" s="2" t="s">
        <v>2104</v>
      </c>
      <c r="I327" s="2" t="s">
        <v>2104</v>
      </c>
      <c r="J327" s="2" t="s">
        <v>2937</v>
      </c>
      <c r="K327" s="2"/>
      <c r="L327" s="3"/>
      <c r="M327" s="3"/>
      <c r="N327" s="2" t="s">
        <v>2938</v>
      </c>
      <c r="O327" s="2"/>
      <c r="P327" s="2"/>
      <c r="Q327" s="2"/>
      <c r="R327" s="2"/>
      <c r="S327" s="2"/>
      <c r="T327" s="2"/>
      <c r="U327" s="2"/>
      <c r="V327" s="2"/>
      <c r="W327" s="2"/>
      <c r="X327" s="5"/>
      <c r="Y327" s="2"/>
      <c r="Z327" s="5"/>
      <c r="AA327" s="2">
        <v>216</v>
      </c>
      <c r="AB327" s="2"/>
      <c r="AC327" s="5"/>
      <c r="AD327" s="5" t="s">
        <v>2939</v>
      </c>
      <c r="AE327" s="3"/>
      <c r="AF327" s="6"/>
      <c r="AG327" s="7"/>
      <c r="AH327" s="2">
        <v>0</v>
      </c>
      <c r="AI327" s="7"/>
      <c r="AJ327" s="3"/>
      <c r="AK327" s="8"/>
      <c r="AL327" s="2" t="str">
        <f t="shared" si="5"/>
        <v/>
      </c>
      <c r="AM327" s="2"/>
      <c r="AN327" s="2" t="s">
        <v>2940</v>
      </c>
      <c r="AO327" s="2" t="s">
        <v>2941</v>
      </c>
      <c r="AP327" s="2"/>
    </row>
    <row r="328" spans="1:42" ht="37.5" x14ac:dyDescent="0.35">
      <c r="A328" s="2">
        <v>327</v>
      </c>
      <c r="B328" s="2" t="s">
        <v>2180</v>
      </c>
      <c r="C328" s="2">
        <v>0.9</v>
      </c>
      <c r="D328" s="3" t="s">
        <v>43</v>
      </c>
      <c r="E328" s="3" t="s">
        <v>44</v>
      </c>
      <c r="F328" s="3" t="s">
        <v>679</v>
      </c>
      <c r="G328" s="2" t="s">
        <v>1159</v>
      </c>
      <c r="H328" s="2" t="s">
        <v>1720</v>
      </c>
      <c r="I328" s="2" t="s">
        <v>1720</v>
      </c>
      <c r="J328" s="2" t="s">
        <v>2942</v>
      </c>
      <c r="K328" s="2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5"/>
      <c r="Y328" s="2"/>
      <c r="Z328" s="5"/>
      <c r="AA328" s="2">
        <v>219</v>
      </c>
      <c r="AB328" s="2"/>
      <c r="AC328" s="5"/>
      <c r="AD328" s="5" t="s">
        <v>2943</v>
      </c>
      <c r="AE328" s="3"/>
      <c r="AF328" s="6"/>
      <c r="AG328" s="7"/>
      <c r="AH328" s="2">
        <v>0</v>
      </c>
      <c r="AI328" s="7"/>
      <c r="AJ328" s="3"/>
      <c r="AK328" s="8"/>
      <c r="AL328" s="2" t="str">
        <f t="shared" si="5"/>
        <v/>
      </c>
      <c r="AM328" s="2"/>
      <c r="AN328" s="2" t="s">
        <v>2944</v>
      </c>
      <c r="AO328" s="2" t="s">
        <v>2945</v>
      </c>
      <c r="AP328" s="2"/>
    </row>
    <row r="329" spans="1:42" ht="37.5" x14ac:dyDescent="0.35">
      <c r="A329" s="2">
        <v>328</v>
      </c>
      <c r="B329" s="2" t="s">
        <v>2180</v>
      </c>
      <c r="C329" s="2">
        <v>0.8</v>
      </c>
      <c r="D329" s="3" t="s">
        <v>43</v>
      </c>
      <c r="E329" s="3" t="s">
        <v>44</v>
      </c>
      <c r="F329" s="3" t="s">
        <v>679</v>
      </c>
      <c r="G329" s="2" t="s">
        <v>207</v>
      </c>
      <c r="H329" s="2" t="s">
        <v>1065</v>
      </c>
      <c r="I329" s="2" t="s">
        <v>1065</v>
      </c>
      <c r="J329" s="2" t="s">
        <v>2946</v>
      </c>
      <c r="K329" s="2"/>
      <c r="L329" s="3"/>
      <c r="M329" s="3"/>
      <c r="N329" s="2" t="s">
        <v>2947</v>
      </c>
      <c r="O329" s="2"/>
      <c r="P329" s="2"/>
      <c r="Q329" s="2"/>
      <c r="R329" s="2"/>
      <c r="S329" s="2"/>
      <c r="T329" s="2"/>
      <c r="U329" s="2">
        <v>5</v>
      </c>
      <c r="V329" s="2">
        <v>1</v>
      </c>
      <c r="W329" s="2"/>
      <c r="X329" s="5" t="s">
        <v>213</v>
      </c>
      <c r="Y329" s="2"/>
      <c r="Z329" s="5"/>
      <c r="AA329" s="2">
        <v>67</v>
      </c>
      <c r="AB329" s="2"/>
      <c r="AC329" s="5"/>
      <c r="AD329" s="5" t="s">
        <v>2948</v>
      </c>
      <c r="AE329" s="3"/>
      <c r="AF329" s="6"/>
      <c r="AG329" s="7"/>
      <c r="AH329" s="2">
        <v>0</v>
      </c>
      <c r="AI329" s="7"/>
      <c r="AJ329" s="3"/>
      <c r="AK329" s="8"/>
      <c r="AL329" s="2" t="str">
        <f t="shared" si="5"/>
        <v/>
      </c>
      <c r="AM329" s="2"/>
      <c r="AN329" s="2" t="s">
        <v>2949</v>
      </c>
      <c r="AO329" s="2" t="s">
        <v>2950</v>
      </c>
      <c r="AP329" s="2"/>
    </row>
    <row r="330" spans="1:42" ht="25" x14ac:dyDescent="0.35">
      <c r="A330" s="2">
        <v>329</v>
      </c>
      <c r="B330" s="2" t="s">
        <v>2180</v>
      </c>
      <c r="C330" s="2">
        <v>0.8</v>
      </c>
      <c r="D330" s="3" t="s">
        <v>43</v>
      </c>
      <c r="E330" s="3" t="s">
        <v>44</v>
      </c>
      <c r="F330" s="3" t="s">
        <v>679</v>
      </c>
      <c r="G330" s="2" t="s">
        <v>1159</v>
      </c>
      <c r="H330" s="2" t="s">
        <v>1159</v>
      </c>
      <c r="I330" s="2" t="s">
        <v>2951</v>
      </c>
      <c r="J330" s="2" t="s">
        <v>2952</v>
      </c>
      <c r="K330" s="2"/>
      <c r="L330" s="3"/>
      <c r="M330" s="3"/>
      <c r="N330" s="2" t="s">
        <v>2953</v>
      </c>
      <c r="O330" s="2"/>
      <c r="P330" s="2"/>
      <c r="Q330" s="2"/>
      <c r="R330" s="2"/>
      <c r="S330" s="2"/>
      <c r="T330" s="2"/>
      <c r="U330" s="2">
        <v>5</v>
      </c>
      <c r="V330" s="2">
        <v>2</v>
      </c>
      <c r="W330" s="2"/>
      <c r="X330" s="5"/>
      <c r="Y330" s="2"/>
      <c r="Z330" s="5"/>
      <c r="AA330" s="2">
        <v>188</v>
      </c>
      <c r="AB330" s="2"/>
      <c r="AC330" s="5"/>
      <c r="AD330" s="5" t="s">
        <v>2954</v>
      </c>
      <c r="AE330" s="3"/>
      <c r="AF330" s="6"/>
      <c r="AG330" s="7"/>
      <c r="AH330" s="2">
        <v>0</v>
      </c>
      <c r="AI330" s="7"/>
      <c r="AJ330" s="3"/>
      <c r="AK330" s="8"/>
      <c r="AL330" s="2" t="str">
        <f t="shared" si="5"/>
        <v/>
      </c>
      <c r="AM330" s="2"/>
      <c r="AN330" s="2" t="s">
        <v>2955</v>
      </c>
      <c r="AO330" s="2" t="s">
        <v>2956</v>
      </c>
      <c r="AP330" s="2"/>
    </row>
    <row r="331" spans="1:42" ht="25" x14ac:dyDescent="0.35">
      <c r="A331" s="2">
        <v>330</v>
      </c>
      <c r="B331" s="2" t="s">
        <v>2180</v>
      </c>
      <c r="C331" s="2">
        <v>0.7</v>
      </c>
      <c r="D331" s="3" t="s">
        <v>43</v>
      </c>
      <c r="E331" s="3" t="s">
        <v>44</v>
      </c>
      <c r="F331" s="3" t="s">
        <v>679</v>
      </c>
      <c r="G331" s="2" t="s">
        <v>207</v>
      </c>
      <c r="H331" s="2" t="s">
        <v>2553</v>
      </c>
      <c r="I331" s="2" t="s">
        <v>2715</v>
      </c>
      <c r="J331" s="2" t="s">
        <v>2957</v>
      </c>
      <c r="K331" s="2"/>
      <c r="L331" s="3"/>
      <c r="M331" s="3"/>
      <c r="N331" s="2" t="s">
        <v>2958</v>
      </c>
      <c r="O331" s="2"/>
      <c r="P331" s="2"/>
      <c r="Q331" s="2"/>
      <c r="R331" s="2"/>
      <c r="S331" s="2"/>
      <c r="T331" s="2"/>
      <c r="U331" s="2">
        <v>5</v>
      </c>
      <c r="V331" s="2">
        <v>2</v>
      </c>
      <c r="W331" s="2"/>
      <c r="X331" s="5"/>
      <c r="Y331" s="2"/>
      <c r="Z331" s="5"/>
      <c r="AA331" s="2">
        <v>55</v>
      </c>
      <c r="AB331" s="2"/>
      <c r="AC331" s="5"/>
      <c r="AD331" s="5" t="s">
        <v>2959</v>
      </c>
      <c r="AE331" s="3"/>
      <c r="AF331" s="6"/>
      <c r="AG331" s="7"/>
      <c r="AH331" s="2">
        <v>0</v>
      </c>
      <c r="AI331" s="7"/>
      <c r="AJ331" s="3"/>
      <c r="AK331" s="8"/>
      <c r="AL331" s="2" t="str">
        <f t="shared" si="5"/>
        <v/>
      </c>
      <c r="AM331" s="2"/>
      <c r="AN331" s="2" t="s">
        <v>2960</v>
      </c>
      <c r="AO331" s="2" t="s">
        <v>2961</v>
      </c>
      <c r="AP331" s="2"/>
    </row>
    <row r="332" spans="1:42" ht="37.5" x14ac:dyDescent="0.35">
      <c r="A332" s="2">
        <v>331</v>
      </c>
      <c r="B332" s="2" t="s">
        <v>2180</v>
      </c>
      <c r="C332" s="2">
        <v>0.7</v>
      </c>
      <c r="D332" s="3" t="s">
        <v>43</v>
      </c>
      <c r="E332" s="3" t="s">
        <v>44</v>
      </c>
      <c r="F332" s="3" t="s">
        <v>679</v>
      </c>
      <c r="G332" s="2" t="s">
        <v>393</v>
      </c>
      <c r="H332" s="2" t="s">
        <v>2962</v>
      </c>
      <c r="I332" s="2" t="s">
        <v>2963</v>
      </c>
      <c r="J332" s="2" t="s">
        <v>2964</v>
      </c>
      <c r="K332" s="2"/>
      <c r="L332" s="3"/>
      <c r="M332" s="3"/>
      <c r="N332" s="2" t="s">
        <v>2965</v>
      </c>
      <c r="O332" s="2"/>
      <c r="P332" s="2"/>
      <c r="Q332" s="2"/>
      <c r="R332" s="2"/>
      <c r="S332" s="2"/>
      <c r="T332" s="2"/>
      <c r="U332" s="2"/>
      <c r="V332" s="2"/>
      <c r="W332" s="2"/>
      <c r="X332" s="5"/>
      <c r="Y332" s="2"/>
      <c r="Z332" s="5"/>
      <c r="AA332" s="2">
        <v>186</v>
      </c>
      <c r="AB332" s="2"/>
      <c r="AC332" s="5"/>
      <c r="AD332" s="5" t="s">
        <v>2966</v>
      </c>
      <c r="AE332" s="3"/>
      <c r="AF332" s="6"/>
      <c r="AG332" s="7"/>
      <c r="AH332" s="2">
        <v>0</v>
      </c>
      <c r="AI332" s="7"/>
      <c r="AJ332" s="3"/>
      <c r="AK332" s="8"/>
      <c r="AL332" s="2" t="str">
        <f t="shared" si="5"/>
        <v/>
      </c>
      <c r="AM332" s="2"/>
      <c r="AN332" s="2" t="s">
        <v>2967</v>
      </c>
      <c r="AO332" s="2" t="s">
        <v>2968</v>
      </c>
      <c r="AP332" s="2"/>
    </row>
    <row r="333" spans="1:42" ht="37.5" x14ac:dyDescent="0.35">
      <c r="A333" s="2">
        <v>332</v>
      </c>
      <c r="B333" s="2" t="s">
        <v>2180</v>
      </c>
      <c r="C333" s="2">
        <v>0.7</v>
      </c>
      <c r="D333" s="3" t="s">
        <v>43</v>
      </c>
      <c r="E333" s="3" t="s">
        <v>44</v>
      </c>
      <c r="F333" s="3" t="s">
        <v>679</v>
      </c>
      <c r="G333" s="2" t="s">
        <v>393</v>
      </c>
      <c r="H333" s="2" t="s">
        <v>2969</v>
      </c>
      <c r="I333" s="2" t="s">
        <v>2969</v>
      </c>
      <c r="J333" s="2" t="s">
        <v>2970</v>
      </c>
      <c r="K333" s="2"/>
      <c r="L333" s="3"/>
      <c r="M333" s="3"/>
      <c r="N333" s="2" t="s">
        <v>2971</v>
      </c>
      <c r="O333" s="2"/>
      <c r="P333" s="2"/>
      <c r="Q333" s="2"/>
      <c r="R333" s="2"/>
      <c r="S333" s="4" t="s">
        <v>2972</v>
      </c>
      <c r="T333" s="2"/>
      <c r="U333" s="2">
        <v>4.5999999999999996</v>
      </c>
      <c r="V333" s="2">
        <v>9</v>
      </c>
      <c r="W333" s="2"/>
      <c r="X333" s="5"/>
      <c r="Y333" s="2"/>
      <c r="Z333" s="5"/>
      <c r="AA333" s="2">
        <v>170</v>
      </c>
      <c r="AB333" s="2"/>
      <c r="AC333" s="5"/>
      <c r="AD333" s="5" t="s">
        <v>2973</v>
      </c>
      <c r="AE333" s="3"/>
      <c r="AF333" s="6"/>
      <c r="AG333" s="7"/>
      <c r="AH333" s="2">
        <v>0</v>
      </c>
      <c r="AI333" s="7"/>
      <c r="AJ333" s="3"/>
      <c r="AK333" s="8"/>
      <c r="AL333" s="2" t="str">
        <f t="shared" si="5"/>
        <v/>
      </c>
      <c r="AM333" s="2" t="s">
        <v>2126</v>
      </c>
      <c r="AN333" s="2" t="s">
        <v>2974</v>
      </c>
      <c r="AO333" s="2" t="s">
        <v>2975</v>
      </c>
      <c r="AP333" s="2"/>
    </row>
    <row r="334" spans="1:42" ht="25" x14ac:dyDescent="0.35">
      <c r="A334" s="2">
        <v>333</v>
      </c>
      <c r="B334" s="2" t="s">
        <v>2180</v>
      </c>
      <c r="C334" s="2">
        <v>0.7</v>
      </c>
      <c r="D334" s="3" t="s">
        <v>43</v>
      </c>
      <c r="E334" s="3" t="s">
        <v>44</v>
      </c>
      <c r="F334" s="3" t="s">
        <v>679</v>
      </c>
      <c r="G334" s="2" t="s">
        <v>991</v>
      </c>
      <c r="H334" s="2" t="s">
        <v>991</v>
      </c>
      <c r="I334" s="2" t="s">
        <v>2976</v>
      </c>
      <c r="J334" s="2" t="s">
        <v>2977</v>
      </c>
      <c r="K334" s="2"/>
      <c r="L334" s="3"/>
      <c r="M334" s="3"/>
      <c r="N334" s="2" t="s">
        <v>2978</v>
      </c>
      <c r="O334" s="2"/>
      <c r="P334" s="2"/>
      <c r="Q334" s="2" t="s">
        <v>2979</v>
      </c>
      <c r="R334" s="2"/>
      <c r="S334" s="4" t="s">
        <v>2980</v>
      </c>
      <c r="T334" s="2"/>
      <c r="U334" s="2">
        <v>4</v>
      </c>
      <c r="V334" s="2">
        <v>3</v>
      </c>
      <c r="W334" s="2"/>
      <c r="X334" s="5"/>
      <c r="Y334" s="2"/>
      <c r="Z334" s="5"/>
      <c r="AA334" s="2">
        <v>175</v>
      </c>
      <c r="AB334" s="2"/>
      <c r="AC334" s="5"/>
      <c r="AD334" s="5" t="s">
        <v>2981</v>
      </c>
      <c r="AE334" s="3"/>
      <c r="AF334" s="6"/>
      <c r="AG334" s="7"/>
      <c r="AH334" s="2">
        <v>0</v>
      </c>
      <c r="AI334" s="7"/>
      <c r="AJ334" s="3"/>
      <c r="AK334" s="8"/>
      <c r="AL334" s="2" t="str">
        <f t="shared" si="5"/>
        <v/>
      </c>
      <c r="AM334" s="2" t="s">
        <v>2982</v>
      </c>
      <c r="AN334" s="2" t="s">
        <v>2983</v>
      </c>
      <c r="AO334" s="2" t="s">
        <v>2984</v>
      </c>
      <c r="AP334" s="2"/>
    </row>
    <row r="335" spans="1:42" ht="25" x14ac:dyDescent="0.35">
      <c r="A335" s="2">
        <v>334</v>
      </c>
      <c r="B335" s="2" t="s">
        <v>2180</v>
      </c>
      <c r="C335" s="2">
        <v>0.7</v>
      </c>
      <c r="D335" s="3" t="s">
        <v>43</v>
      </c>
      <c r="E335" s="3" t="s">
        <v>44</v>
      </c>
      <c r="F335" s="3" t="s">
        <v>679</v>
      </c>
      <c r="G335" s="2" t="s">
        <v>991</v>
      </c>
      <c r="H335" s="2" t="s">
        <v>1148</v>
      </c>
      <c r="I335" s="2" t="s">
        <v>1148</v>
      </c>
      <c r="J335" s="2" t="s">
        <v>2985</v>
      </c>
      <c r="K335" s="2"/>
      <c r="L335" s="3"/>
      <c r="M335" s="3"/>
      <c r="N335" s="2" t="s">
        <v>2986</v>
      </c>
      <c r="O335" s="2" t="s">
        <v>2987</v>
      </c>
      <c r="P335" s="2"/>
      <c r="Q335" s="2"/>
      <c r="R335" s="2"/>
      <c r="S335" s="4" t="s">
        <v>2988</v>
      </c>
      <c r="T335" s="2"/>
      <c r="U335" s="2"/>
      <c r="V335" s="2"/>
      <c r="W335" s="2"/>
      <c r="X335" s="5"/>
      <c r="Y335" s="2" t="s">
        <v>66</v>
      </c>
      <c r="Z335" s="5" t="s">
        <v>2989</v>
      </c>
      <c r="AA335" s="2">
        <v>164</v>
      </c>
      <c r="AB335" s="2"/>
      <c r="AC335" s="5"/>
      <c r="AD335" s="5" t="s">
        <v>2990</v>
      </c>
      <c r="AE335" s="3"/>
      <c r="AF335" s="6"/>
      <c r="AG335" s="7"/>
      <c r="AH335" s="2">
        <v>0</v>
      </c>
      <c r="AI335" s="7"/>
      <c r="AJ335" s="3"/>
      <c r="AK335" s="8"/>
      <c r="AL335" s="2" t="str">
        <f t="shared" si="5"/>
        <v>Abrir WhatsApp</v>
      </c>
      <c r="AM335" s="2"/>
      <c r="AN335" s="2" t="s">
        <v>2991</v>
      </c>
      <c r="AO335" s="2" t="s">
        <v>2992</v>
      </c>
      <c r="AP335" s="2"/>
    </row>
    <row r="336" spans="1:42" x14ac:dyDescent="0.35">
      <c r="A336" s="2">
        <v>335</v>
      </c>
      <c r="B336" s="2" t="s">
        <v>2180</v>
      </c>
      <c r="C336" s="2">
        <v>0.7</v>
      </c>
      <c r="D336" s="3" t="s">
        <v>43</v>
      </c>
      <c r="E336" s="3" t="s">
        <v>44</v>
      </c>
      <c r="F336" s="3" t="s">
        <v>679</v>
      </c>
      <c r="G336" s="2" t="s">
        <v>991</v>
      </c>
      <c r="H336" s="2" t="s">
        <v>1148</v>
      </c>
      <c r="I336" s="2" t="s">
        <v>2993</v>
      </c>
      <c r="J336" s="2" t="s">
        <v>2994</v>
      </c>
      <c r="K336" s="2"/>
      <c r="L336" s="3"/>
      <c r="M336" s="3"/>
      <c r="N336" s="2" t="s">
        <v>2995</v>
      </c>
      <c r="O336" s="2" t="s">
        <v>2996</v>
      </c>
      <c r="P336" s="2"/>
      <c r="Q336" s="2" t="s">
        <v>2997</v>
      </c>
      <c r="R336" s="2"/>
      <c r="S336" s="4" t="s">
        <v>2998</v>
      </c>
      <c r="T336" s="2"/>
      <c r="U336" s="2"/>
      <c r="V336" s="2"/>
      <c r="W336" s="2"/>
      <c r="X336" s="5"/>
      <c r="Y336" s="2"/>
      <c r="Z336" s="5"/>
      <c r="AA336" s="2">
        <v>177</v>
      </c>
      <c r="AB336" s="2"/>
      <c r="AC336" s="5"/>
      <c r="AD336" s="5" t="s">
        <v>2990</v>
      </c>
      <c r="AE336" s="3"/>
      <c r="AF336" s="6"/>
      <c r="AG336" s="7"/>
      <c r="AH336" s="2">
        <v>0</v>
      </c>
      <c r="AI336" s="7"/>
      <c r="AJ336" s="3"/>
      <c r="AK336" s="8"/>
      <c r="AL336" s="2" t="str">
        <f t="shared" si="5"/>
        <v>Abrir WhatsApp</v>
      </c>
      <c r="AM336" s="2"/>
      <c r="AN336" s="2" t="s">
        <v>2999</v>
      </c>
      <c r="AO336" s="2" t="s">
        <v>3000</v>
      </c>
      <c r="AP336" s="2"/>
    </row>
    <row r="337" spans="1:42" ht="25" x14ac:dyDescent="0.35">
      <c r="A337" s="2">
        <v>336</v>
      </c>
      <c r="B337" s="2" t="s">
        <v>2180</v>
      </c>
      <c r="C337" s="2">
        <v>0.7</v>
      </c>
      <c r="D337" s="3" t="s">
        <v>43</v>
      </c>
      <c r="E337" s="3" t="s">
        <v>44</v>
      </c>
      <c r="F337" s="3" t="s">
        <v>679</v>
      </c>
      <c r="G337" s="2" t="s">
        <v>1159</v>
      </c>
      <c r="H337" s="2" t="s">
        <v>3001</v>
      </c>
      <c r="I337" s="2" t="s">
        <v>3001</v>
      </c>
      <c r="J337" s="2" t="s">
        <v>3002</v>
      </c>
      <c r="K337" s="2"/>
      <c r="L337" s="3"/>
      <c r="M337" s="3"/>
      <c r="N337" s="2" t="s">
        <v>3003</v>
      </c>
      <c r="O337" s="2"/>
      <c r="P337" s="2"/>
      <c r="Q337" s="2"/>
      <c r="R337" s="2"/>
      <c r="S337" s="4" t="s">
        <v>3004</v>
      </c>
      <c r="T337" s="2"/>
      <c r="U337" s="2"/>
      <c r="V337" s="2"/>
      <c r="W337" s="2"/>
      <c r="X337" s="5"/>
      <c r="Y337" s="2" t="s">
        <v>118</v>
      </c>
      <c r="Z337" s="5" t="s">
        <v>3005</v>
      </c>
      <c r="AA337" s="2">
        <v>185</v>
      </c>
      <c r="AB337" s="2"/>
      <c r="AC337" s="5"/>
      <c r="AD337" s="5" t="s">
        <v>3006</v>
      </c>
      <c r="AE337" s="3"/>
      <c r="AF337" s="6"/>
      <c r="AG337" s="7"/>
      <c r="AH337" s="2">
        <v>0</v>
      </c>
      <c r="AI337" s="7"/>
      <c r="AJ337" s="3"/>
      <c r="AK337" s="8"/>
      <c r="AL337" s="2" t="str">
        <f t="shared" si="5"/>
        <v/>
      </c>
      <c r="AM337" s="2"/>
      <c r="AN337" s="2" t="s">
        <v>3007</v>
      </c>
      <c r="AO337" s="2" t="s">
        <v>3008</v>
      </c>
      <c r="AP337" s="2"/>
    </row>
    <row r="338" spans="1:42" ht="25" x14ac:dyDescent="0.35">
      <c r="A338" s="2">
        <v>337</v>
      </c>
      <c r="B338" s="2" t="s">
        <v>2180</v>
      </c>
      <c r="C338" s="2">
        <v>0.7</v>
      </c>
      <c r="D338" s="3" t="s">
        <v>43</v>
      </c>
      <c r="E338" s="3" t="s">
        <v>44</v>
      </c>
      <c r="F338" s="3" t="s">
        <v>679</v>
      </c>
      <c r="G338" s="2" t="s">
        <v>1159</v>
      </c>
      <c r="H338" s="2" t="s">
        <v>1159</v>
      </c>
      <c r="I338" s="2" t="s">
        <v>1159</v>
      </c>
      <c r="J338" s="2" t="s">
        <v>3009</v>
      </c>
      <c r="K338" s="2"/>
      <c r="L338" s="3"/>
      <c r="M338" s="3"/>
      <c r="N338" s="2" t="s">
        <v>3010</v>
      </c>
      <c r="O338" s="2"/>
      <c r="P338" s="2"/>
      <c r="Q338" s="2"/>
      <c r="R338" s="2"/>
      <c r="S338" s="2"/>
      <c r="T338" s="2"/>
      <c r="U338" s="2">
        <v>5</v>
      </c>
      <c r="V338" s="2">
        <v>11</v>
      </c>
      <c r="W338" s="2"/>
      <c r="X338" s="5"/>
      <c r="Y338" s="2" t="s">
        <v>66</v>
      </c>
      <c r="Z338" s="5" t="s">
        <v>3011</v>
      </c>
      <c r="AA338" s="2">
        <v>179</v>
      </c>
      <c r="AB338" s="2"/>
      <c r="AC338" s="5"/>
      <c r="AD338" s="5" t="s">
        <v>2927</v>
      </c>
      <c r="AE338" s="3"/>
      <c r="AF338" s="6"/>
      <c r="AG338" s="7"/>
      <c r="AH338" s="2">
        <v>0</v>
      </c>
      <c r="AI338" s="7"/>
      <c r="AJ338" s="3"/>
      <c r="AK338" s="8"/>
      <c r="AL338" s="2" t="str">
        <f t="shared" si="5"/>
        <v/>
      </c>
      <c r="AM338" s="2"/>
      <c r="AN338" s="2" t="s">
        <v>3012</v>
      </c>
      <c r="AO338" s="2" t="s">
        <v>3013</v>
      </c>
      <c r="AP338" s="2"/>
    </row>
    <row r="339" spans="1:42" ht="37.5" x14ac:dyDescent="0.35">
      <c r="A339" s="2">
        <v>338</v>
      </c>
      <c r="B339" s="2" t="s">
        <v>2180</v>
      </c>
      <c r="C339" s="2">
        <v>0.6</v>
      </c>
      <c r="D339" s="3" t="s">
        <v>43</v>
      </c>
      <c r="E339" s="3" t="s">
        <v>44</v>
      </c>
      <c r="F339" s="3" t="s">
        <v>679</v>
      </c>
      <c r="G339" s="2" t="s">
        <v>393</v>
      </c>
      <c r="H339" s="2" t="s">
        <v>2962</v>
      </c>
      <c r="I339" s="2" t="s">
        <v>2962</v>
      </c>
      <c r="J339" s="2" t="s">
        <v>3014</v>
      </c>
      <c r="K339" s="2"/>
      <c r="L339" s="3"/>
      <c r="M339" s="3"/>
      <c r="N339" s="2" t="s">
        <v>3015</v>
      </c>
      <c r="O339" s="2"/>
      <c r="P339" s="2"/>
      <c r="Q339" s="2"/>
      <c r="R339" s="2"/>
      <c r="S339" s="2"/>
      <c r="T339" s="2"/>
      <c r="U339" s="2" t="s">
        <v>1132</v>
      </c>
      <c r="V339" s="2">
        <v>1</v>
      </c>
      <c r="W339" s="2"/>
      <c r="X339" s="5"/>
      <c r="Y339" s="2" t="s">
        <v>66</v>
      </c>
      <c r="Z339" s="5" t="s">
        <v>3016</v>
      </c>
      <c r="AA339" s="2">
        <v>138</v>
      </c>
      <c r="AB339" s="2"/>
      <c r="AC339" s="5"/>
      <c r="AD339" s="5" t="s">
        <v>3017</v>
      </c>
      <c r="AE339" s="3"/>
      <c r="AF339" s="6"/>
      <c r="AG339" s="7"/>
      <c r="AH339" s="2">
        <v>0</v>
      </c>
      <c r="AI339" s="7"/>
      <c r="AJ339" s="3"/>
      <c r="AK339" s="8"/>
      <c r="AL339" s="2" t="str">
        <f t="shared" si="5"/>
        <v/>
      </c>
      <c r="AM339" s="2"/>
      <c r="AN339" s="2" t="s">
        <v>3018</v>
      </c>
      <c r="AO339" s="2" t="s">
        <v>3019</v>
      </c>
      <c r="AP339" s="2"/>
    </row>
    <row r="340" spans="1:42" ht="25" x14ac:dyDescent="0.35">
      <c r="A340" s="2">
        <v>339</v>
      </c>
      <c r="B340" s="2" t="s">
        <v>2180</v>
      </c>
      <c r="C340" s="2">
        <v>0.6</v>
      </c>
      <c r="D340" s="3" t="s">
        <v>43</v>
      </c>
      <c r="E340" s="3" t="s">
        <v>44</v>
      </c>
      <c r="F340" s="3" t="s">
        <v>679</v>
      </c>
      <c r="G340" s="2" t="s">
        <v>393</v>
      </c>
      <c r="H340" s="2" t="s">
        <v>2882</v>
      </c>
      <c r="I340" s="2" t="s">
        <v>2882</v>
      </c>
      <c r="J340" s="2" t="s">
        <v>3020</v>
      </c>
      <c r="K340" s="2"/>
      <c r="L340" s="3"/>
      <c r="M340" s="3"/>
      <c r="N340" s="2" t="s">
        <v>3021</v>
      </c>
      <c r="O340" s="2" t="s">
        <v>3022</v>
      </c>
      <c r="P340" s="2"/>
      <c r="Q340" s="2"/>
      <c r="R340" s="2"/>
      <c r="S340" s="4" t="s">
        <v>3023</v>
      </c>
      <c r="T340" s="2"/>
      <c r="U340" s="2"/>
      <c r="V340" s="2"/>
      <c r="W340" s="2"/>
      <c r="X340" s="5"/>
      <c r="Y340" s="2"/>
      <c r="Z340" s="5"/>
      <c r="AA340" s="2">
        <v>155</v>
      </c>
      <c r="AB340" s="2"/>
      <c r="AC340" s="5"/>
      <c r="AD340" s="5" t="s">
        <v>3024</v>
      </c>
      <c r="AE340" s="3"/>
      <c r="AF340" s="6"/>
      <c r="AG340" s="7"/>
      <c r="AH340" s="2">
        <v>0</v>
      </c>
      <c r="AI340" s="7"/>
      <c r="AJ340" s="3"/>
      <c r="AK340" s="8"/>
      <c r="AL340" s="2" t="str">
        <f t="shared" si="5"/>
        <v>Abrir WhatsApp</v>
      </c>
      <c r="AM340" s="2" t="s">
        <v>2126</v>
      </c>
      <c r="AN340" s="2" t="s">
        <v>3025</v>
      </c>
      <c r="AO340" s="2" t="s">
        <v>3026</v>
      </c>
      <c r="AP340" s="2"/>
    </row>
    <row r="341" spans="1:42" ht="25" x14ac:dyDescent="0.35">
      <c r="A341" s="2">
        <v>340</v>
      </c>
      <c r="B341" s="2" t="s">
        <v>2180</v>
      </c>
      <c r="C341" s="2">
        <v>0.6</v>
      </c>
      <c r="D341" s="3" t="s">
        <v>43</v>
      </c>
      <c r="E341" s="3" t="s">
        <v>44</v>
      </c>
      <c r="F341" s="3" t="s">
        <v>679</v>
      </c>
      <c r="G341" s="2" t="s">
        <v>991</v>
      </c>
      <c r="H341" s="2" t="s">
        <v>3027</v>
      </c>
      <c r="I341" s="2" t="s">
        <v>3027</v>
      </c>
      <c r="J341" s="2" t="s">
        <v>3028</v>
      </c>
      <c r="K341" s="2"/>
      <c r="L341" s="3"/>
      <c r="M341" s="3"/>
      <c r="N341" s="2" t="s">
        <v>3029</v>
      </c>
      <c r="O341" s="2"/>
      <c r="P341" s="2"/>
      <c r="Q341" s="2" t="s">
        <v>3030</v>
      </c>
      <c r="R341" s="2"/>
      <c r="S341" s="2"/>
      <c r="T341" s="2"/>
      <c r="U341" s="2"/>
      <c r="V341" s="2"/>
      <c r="W341" s="2"/>
      <c r="X341" s="5"/>
      <c r="Y341" s="2"/>
      <c r="Z341" s="5"/>
      <c r="AA341" s="2">
        <v>150</v>
      </c>
      <c r="AB341" s="2"/>
      <c r="AC341" s="5"/>
      <c r="AD341" s="5" t="s">
        <v>3031</v>
      </c>
      <c r="AE341" s="3"/>
      <c r="AF341" s="6"/>
      <c r="AG341" s="7"/>
      <c r="AH341" s="2">
        <v>0</v>
      </c>
      <c r="AI341" s="7"/>
      <c r="AJ341" s="3"/>
      <c r="AK341" s="8"/>
      <c r="AL341" s="2" t="str">
        <f t="shared" si="5"/>
        <v/>
      </c>
      <c r="AM341" s="2"/>
      <c r="AN341" s="2" t="s">
        <v>3032</v>
      </c>
      <c r="AO341" s="2" t="s">
        <v>3033</v>
      </c>
      <c r="AP341" s="2"/>
    </row>
    <row r="342" spans="1:42" ht="37.5" x14ac:dyDescent="0.35">
      <c r="A342" s="2">
        <v>341</v>
      </c>
      <c r="B342" s="2" t="s">
        <v>2180</v>
      </c>
      <c r="C342" s="2">
        <v>0.6</v>
      </c>
      <c r="D342" s="3" t="s">
        <v>43</v>
      </c>
      <c r="E342" s="3" t="s">
        <v>44</v>
      </c>
      <c r="F342" s="3" t="s">
        <v>679</v>
      </c>
      <c r="G342" s="2" t="s">
        <v>1159</v>
      </c>
      <c r="H342" s="2" t="s">
        <v>3034</v>
      </c>
      <c r="I342" s="2" t="s">
        <v>3034</v>
      </c>
      <c r="J342" s="2" t="s">
        <v>3035</v>
      </c>
      <c r="K342" s="2"/>
      <c r="L342" s="3"/>
      <c r="M342" s="3"/>
      <c r="N342" s="2"/>
      <c r="O342" s="2" t="s">
        <v>3036</v>
      </c>
      <c r="P342" s="2"/>
      <c r="Q342" s="2"/>
      <c r="R342" s="2"/>
      <c r="S342" s="4" t="s">
        <v>3037</v>
      </c>
      <c r="T342" s="2"/>
      <c r="U342" s="2"/>
      <c r="V342" s="2"/>
      <c r="W342" s="2"/>
      <c r="X342" s="5"/>
      <c r="Y342" s="2" t="s">
        <v>118</v>
      </c>
      <c r="Z342" s="5" t="s">
        <v>3005</v>
      </c>
      <c r="AA342" s="2">
        <v>144</v>
      </c>
      <c r="AB342" s="2"/>
      <c r="AC342" s="5"/>
      <c r="AD342" s="5" t="s">
        <v>3038</v>
      </c>
      <c r="AE342" s="3"/>
      <c r="AF342" s="6"/>
      <c r="AG342" s="7"/>
      <c r="AH342" s="2">
        <v>0</v>
      </c>
      <c r="AI342" s="7"/>
      <c r="AJ342" s="3"/>
      <c r="AK342" s="8"/>
      <c r="AL342" s="2" t="str">
        <f t="shared" si="5"/>
        <v>Abrir WhatsApp</v>
      </c>
      <c r="AM342" s="2"/>
      <c r="AN342" s="2" t="s">
        <v>3039</v>
      </c>
      <c r="AO342" s="2" t="s">
        <v>3040</v>
      </c>
      <c r="AP342" s="2"/>
    </row>
    <row r="343" spans="1:42" ht="50" x14ac:dyDescent="0.35">
      <c r="A343" s="2">
        <v>342</v>
      </c>
      <c r="B343" s="2" t="s">
        <v>2180</v>
      </c>
      <c r="C343" s="2">
        <v>0.5</v>
      </c>
      <c r="D343" s="3" t="s">
        <v>43</v>
      </c>
      <c r="E343" s="3" t="s">
        <v>44</v>
      </c>
      <c r="F343" s="3" t="s">
        <v>679</v>
      </c>
      <c r="G343" s="2" t="s">
        <v>207</v>
      </c>
      <c r="H343" s="2" t="s">
        <v>1274</v>
      </c>
      <c r="I343" s="2" t="s">
        <v>3041</v>
      </c>
      <c r="J343" s="2" t="s">
        <v>3042</v>
      </c>
      <c r="K343" s="2"/>
      <c r="L343" s="3"/>
      <c r="M343" s="3"/>
      <c r="N343" s="2" t="s">
        <v>3043</v>
      </c>
      <c r="O343" s="2"/>
      <c r="P343" s="2"/>
      <c r="Q343" s="2"/>
      <c r="R343" s="2"/>
      <c r="S343" s="4" t="s">
        <v>3044</v>
      </c>
      <c r="T343" s="2"/>
      <c r="U343" s="2">
        <v>5</v>
      </c>
      <c r="V343" s="2">
        <v>1</v>
      </c>
      <c r="W343" s="2"/>
      <c r="X343" s="5"/>
      <c r="Y343" s="2" t="s">
        <v>66</v>
      </c>
      <c r="Z343" s="5" t="s">
        <v>3045</v>
      </c>
      <c r="AA343" s="2"/>
      <c r="AB343" s="2"/>
      <c r="AC343" s="5"/>
      <c r="AD343" s="5" t="s">
        <v>3046</v>
      </c>
      <c r="AE343" s="3"/>
      <c r="AF343" s="6"/>
      <c r="AG343" s="7"/>
      <c r="AH343" s="2">
        <v>0</v>
      </c>
      <c r="AI343" s="7"/>
      <c r="AJ343" s="3"/>
      <c r="AK343" s="8"/>
      <c r="AL343" s="2" t="str">
        <f t="shared" si="5"/>
        <v/>
      </c>
      <c r="AM343" s="2"/>
      <c r="AN343" s="2" t="s">
        <v>3047</v>
      </c>
      <c r="AO343" s="2" t="s">
        <v>3048</v>
      </c>
      <c r="AP343" s="2"/>
    </row>
    <row r="344" spans="1:42" ht="62.5" x14ac:dyDescent="0.35">
      <c r="A344" s="2">
        <v>343</v>
      </c>
      <c r="B344" s="2" t="s">
        <v>2180</v>
      </c>
      <c r="C344" s="2">
        <v>0.5</v>
      </c>
      <c r="D344" s="3" t="s">
        <v>43</v>
      </c>
      <c r="E344" s="3" t="s">
        <v>44</v>
      </c>
      <c r="F344" s="3" t="s">
        <v>679</v>
      </c>
      <c r="G344" s="2" t="s">
        <v>393</v>
      </c>
      <c r="H344" s="2" t="s">
        <v>621</v>
      </c>
      <c r="I344" s="2" t="s">
        <v>3049</v>
      </c>
      <c r="J344" s="2" t="s">
        <v>3050</v>
      </c>
      <c r="K344" s="2"/>
      <c r="L344" s="3"/>
      <c r="M344" s="3"/>
      <c r="N344" s="2" t="s">
        <v>3051</v>
      </c>
      <c r="O344" s="2"/>
      <c r="P344" s="2"/>
      <c r="Q344" s="2" t="s">
        <v>3052</v>
      </c>
      <c r="R344" s="4" t="s">
        <v>3053</v>
      </c>
      <c r="S344" s="4" t="s">
        <v>3054</v>
      </c>
      <c r="T344" s="2"/>
      <c r="U344" s="2" t="s">
        <v>1627</v>
      </c>
      <c r="V344" s="2">
        <v>2</v>
      </c>
      <c r="W344" s="2"/>
      <c r="X344" s="5" t="s">
        <v>319</v>
      </c>
      <c r="Y344" s="2"/>
      <c r="Z344" s="5"/>
      <c r="AA344" s="2"/>
      <c r="AB344" s="2"/>
      <c r="AC344" s="5" t="s">
        <v>3055</v>
      </c>
      <c r="AD344" s="5" t="s">
        <v>3056</v>
      </c>
      <c r="AE344" s="3"/>
      <c r="AF344" s="6"/>
      <c r="AG344" s="7"/>
      <c r="AH344" s="2">
        <v>0</v>
      </c>
      <c r="AI344" s="7"/>
      <c r="AJ344" s="3"/>
      <c r="AK344" s="8"/>
      <c r="AL344" s="2" t="str">
        <f t="shared" si="5"/>
        <v/>
      </c>
      <c r="AM344" s="2" t="s">
        <v>3057</v>
      </c>
      <c r="AN344" s="2" t="s">
        <v>3058</v>
      </c>
      <c r="AO344" s="2" t="s">
        <v>3059</v>
      </c>
      <c r="AP344" s="2"/>
    </row>
    <row r="345" spans="1:42" ht="25" x14ac:dyDescent="0.35">
      <c r="A345" s="2">
        <v>344</v>
      </c>
      <c r="B345" s="2" t="s">
        <v>2180</v>
      </c>
      <c r="C345" s="2">
        <v>0.5</v>
      </c>
      <c r="D345" s="3" t="s">
        <v>43</v>
      </c>
      <c r="E345" s="3" t="s">
        <v>44</v>
      </c>
      <c r="F345" s="3" t="s">
        <v>679</v>
      </c>
      <c r="G345" s="2" t="s">
        <v>393</v>
      </c>
      <c r="H345" s="2" t="s">
        <v>2160</v>
      </c>
      <c r="I345" s="2" t="s">
        <v>3060</v>
      </c>
      <c r="J345" s="2" t="s">
        <v>3061</v>
      </c>
      <c r="K345" s="2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5"/>
      <c r="Y345" s="2"/>
      <c r="Z345" s="5"/>
      <c r="AA345" s="2">
        <v>129</v>
      </c>
      <c r="AB345" s="2"/>
      <c r="AC345" s="5"/>
      <c r="AD345" s="5" t="s">
        <v>3062</v>
      </c>
      <c r="AE345" s="3"/>
      <c r="AF345" s="6"/>
      <c r="AG345" s="7"/>
      <c r="AH345" s="2">
        <v>0</v>
      </c>
      <c r="AI345" s="7"/>
      <c r="AJ345" s="3"/>
      <c r="AK345" s="8"/>
      <c r="AL345" s="2" t="str">
        <f t="shared" si="5"/>
        <v/>
      </c>
      <c r="AM345" s="2"/>
      <c r="AN345" s="2" t="s">
        <v>3063</v>
      </c>
      <c r="AO345" s="2" t="s">
        <v>3064</v>
      </c>
      <c r="AP345" s="2"/>
    </row>
    <row r="346" spans="1:42" ht="62.5" x14ac:dyDescent="0.35">
      <c r="A346" s="2">
        <v>345</v>
      </c>
      <c r="B346" s="2" t="s">
        <v>2180</v>
      </c>
      <c r="C346" s="2">
        <v>0.5</v>
      </c>
      <c r="D346" s="3" t="s">
        <v>43</v>
      </c>
      <c r="E346" s="3" t="s">
        <v>44</v>
      </c>
      <c r="F346" s="3" t="s">
        <v>679</v>
      </c>
      <c r="G346" s="2" t="s">
        <v>393</v>
      </c>
      <c r="H346" s="2" t="s">
        <v>1668</v>
      </c>
      <c r="I346" s="2" t="s">
        <v>1668</v>
      </c>
      <c r="J346" s="2" t="s">
        <v>3065</v>
      </c>
      <c r="K346" s="2"/>
      <c r="L346" s="3"/>
      <c r="M346" s="3"/>
      <c r="N346" s="2"/>
      <c r="O346" s="2" t="s">
        <v>3066</v>
      </c>
      <c r="P346" s="2"/>
      <c r="Q346" s="2"/>
      <c r="R346" s="2"/>
      <c r="S346" s="4" t="s">
        <v>3067</v>
      </c>
      <c r="T346" s="4" t="s">
        <v>3068</v>
      </c>
      <c r="U346" s="2">
        <v>5</v>
      </c>
      <c r="V346" s="2">
        <v>48</v>
      </c>
      <c r="W346" s="2"/>
      <c r="X346" s="5"/>
      <c r="Y346" s="2" t="s">
        <v>66</v>
      </c>
      <c r="Z346" s="5" t="s">
        <v>3069</v>
      </c>
      <c r="AA346" s="2">
        <v>130</v>
      </c>
      <c r="AB346" s="2"/>
      <c r="AC346" s="5"/>
      <c r="AD346" s="5" t="s">
        <v>3070</v>
      </c>
      <c r="AE346" s="3"/>
      <c r="AF346" s="6"/>
      <c r="AG346" s="7"/>
      <c r="AH346" s="2">
        <v>0</v>
      </c>
      <c r="AI346" s="7"/>
      <c r="AJ346" s="3"/>
      <c r="AK346" s="8"/>
      <c r="AL346" s="2" t="str">
        <f t="shared" si="5"/>
        <v>Abrir WhatsApp</v>
      </c>
      <c r="AM346" s="2" t="s">
        <v>2126</v>
      </c>
      <c r="AN346" s="2" t="s">
        <v>3071</v>
      </c>
      <c r="AO346" s="2" t="s">
        <v>3072</v>
      </c>
      <c r="AP346" s="2"/>
    </row>
    <row r="347" spans="1:42" ht="25" x14ac:dyDescent="0.35">
      <c r="A347" s="2">
        <v>346</v>
      </c>
      <c r="B347" s="2" t="s">
        <v>2180</v>
      </c>
      <c r="C347" s="2">
        <v>0.5</v>
      </c>
      <c r="D347" s="3" t="s">
        <v>43</v>
      </c>
      <c r="E347" s="3" t="s">
        <v>44</v>
      </c>
      <c r="F347" s="3" t="s">
        <v>679</v>
      </c>
      <c r="G347" s="2" t="s">
        <v>991</v>
      </c>
      <c r="H347" s="2" t="s">
        <v>991</v>
      </c>
      <c r="I347" s="2" t="s">
        <v>991</v>
      </c>
      <c r="J347" s="2" t="s">
        <v>3073</v>
      </c>
      <c r="K347" s="2"/>
      <c r="L347" s="3"/>
      <c r="M347" s="3"/>
      <c r="N347" s="2" t="s">
        <v>3074</v>
      </c>
      <c r="O347" s="2"/>
      <c r="P347" s="2"/>
      <c r="Q347" s="2"/>
      <c r="R347" s="2"/>
      <c r="S347" s="2"/>
      <c r="T347" s="2"/>
      <c r="U347" s="2">
        <v>5</v>
      </c>
      <c r="V347" s="2">
        <v>2</v>
      </c>
      <c r="W347" s="2"/>
      <c r="X347" s="5"/>
      <c r="Y347" s="2" t="s">
        <v>118</v>
      </c>
      <c r="Z347" s="5" t="s">
        <v>3075</v>
      </c>
      <c r="AA347" s="2">
        <v>119</v>
      </c>
      <c r="AB347" s="2"/>
      <c r="AC347" s="5"/>
      <c r="AD347" s="5" t="s">
        <v>3076</v>
      </c>
      <c r="AE347" s="3"/>
      <c r="AF347" s="6"/>
      <c r="AG347" s="7"/>
      <c r="AH347" s="2">
        <v>0</v>
      </c>
      <c r="AI347" s="7"/>
      <c r="AJ347" s="3"/>
      <c r="AK347" s="8"/>
      <c r="AL347" s="2" t="str">
        <f t="shared" si="5"/>
        <v/>
      </c>
      <c r="AM347" s="2"/>
      <c r="AN347" s="2" t="s">
        <v>3077</v>
      </c>
      <c r="AO347" s="2" t="s">
        <v>3078</v>
      </c>
      <c r="AP347" s="2"/>
    </row>
    <row r="348" spans="1:42" x14ac:dyDescent="0.35">
      <c r="A348" s="2">
        <v>347</v>
      </c>
      <c r="B348" s="2" t="s">
        <v>2180</v>
      </c>
      <c r="C348" s="2">
        <v>0.5</v>
      </c>
      <c r="D348" s="3" t="s">
        <v>43</v>
      </c>
      <c r="E348" s="3" t="s">
        <v>44</v>
      </c>
      <c r="F348" s="3" t="s">
        <v>679</v>
      </c>
      <c r="G348" s="2" t="s">
        <v>1159</v>
      </c>
      <c r="H348" s="2" t="s">
        <v>3079</v>
      </c>
      <c r="I348" s="2" t="s">
        <v>3079</v>
      </c>
      <c r="J348" s="2" t="s">
        <v>3080</v>
      </c>
      <c r="K348" s="2"/>
      <c r="L348" s="3"/>
      <c r="M348" s="3"/>
      <c r="N348" s="2" t="s">
        <v>3081</v>
      </c>
      <c r="O348" s="2"/>
      <c r="P348" s="2"/>
      <c r="Q348" s="2" t="s">
        <v>3082</v>
      </c>
      <c r="R348" s="4" t="s">
        <v>3083</v>
      </c>
      <c r="S348" s="2"/>
      <c r="T348" s="2"/>
      <c r="U348" s="2"/>
      <c r="V348" s="2"/>
      <c r="W348" s="2"/>
      <c r="X348" s="5"/>
      <c r="Y348" s="2"/>
      <c r="Z348" s="5"/>
      <c r="AA348" s="2">
        <v>123</v>
      </c>
      <c r="AB348" s="2"/>
      <c r="AC348" s="5"/>
      <c r="AD348" s="5" t="s">
        <v>3084</v>
      </c>
      <c r="AE348" s="3"/>
      <c r="AF348" s="6"/>
      <c r="AG348" s="7"/>
      <c r="AH348" s="2">
        <v>0</v>
      </c>
      <c r="AI348" s="7"/>
      <c r="AJ348" s="3"/>
      <c r="AK348" s="8"/>
      <c r="AL348" s="2" t="str">
        <f t="shared" si="5"/>
        <v/>
      </c>
      <c r="AM348" s="2"/>
      <c r="AN348" s="2" t="s">
        <v>3085</v>
      </c>
      <c r="AO348" s="2" t="s">
        <v>3086</v>
      </c>
      <c r="AP348" s="2"/>
    </row>
    <row r="349" spans="1:42" ht="75" x14ac:dyDescent="0.35">
      <c r="A349" s="2">
        <v>348</v>
      </c>
      <c r="B349" s="2" t="s">
        <v>2180</v>
      </c>
      <c r="C349" s="2">
        <v>0.4</v>
      </c>
      <c r="D349" s="3" t="s">
        <v>43</v>
      </c>
      <c r="E349" s="3" t="s">
        <v>44</v>
      </c>
      <c r="F349" s="3" t="s">
        <v>679</v>
      </c>
      <c r="G349" s="2" t="s">
        <v>393</v>
      </c>
      <c r="H349" s="2" t="s">
        <v>1436</v>
      </c>
      <c r="I349" s="2" t="s">
        <v>3087</v>
      </c>
      <c r="J349" s="2" t="s">
        <v>3088</v>
      </c>
      <c r="K349" s="2"/>
      <c r="L349" s="3"/>
      <c r="M349" s="3"/>
      <c r="N349" s="2" t="s">
        <v>3089</v>
      </c>
      <c r="O349" s="2"/>
      <c r="P349" s="2"/>
      <c r="Q349" s="2"/>
      <c r="R349" s="2"/>
      <c r="S349" s="2"/>
      <c r="T349" s="2"/>
      <c r="U349" s="2"/>
      <c r="V349" s="2"/>
      <c r="W349" s="2"/>
      <c r="X349" s="5"/>
      <c r="Y349" s="2"/>
      <c r="Z349" s="5"/>
      <c r="AA349" s="2">
        <v>103</v>
      </c>
      <c r="AB349" s="2"/>
      <c r="AC349" s="5"/>
      <c r="AD349" s="5" t="s">
        <v>3090</v>
      </c>
      <c r="AE349" s="3"/>
      <c r="AF349" s="6"/>
      <c r="AG349" s="7"/>
      <c r="AH349" s="2">
        <v>0</v>
      </c>
      <c r="AI349" s="7"/>
      <c r="AJ349" s="3"/>
      <c r="AK349" s="8"/>
      <c r="AL349" s="2" t="str">
        <f t="shared" si="5"/>
        <v/>
      </c>
      <c r="AM349" s="2"/>
      <c r="AN349" s="2" t="s">
        <v>3091</v>
      </c>
      <c r="AO349" s="2" t="s">
        <v>3092</v>
      </c>
      <c r="AP349" s="2"/>
    </row>
    <row r="350" spans="1:42" ht="37.5" x14ac:dyDescent="0.35">
      <c r="A350" s="2">
        <v>349</v>
      </c>
      <c r="B350" s="2" t="s">
        <v>2180</v>
      </c>
      <c r="C350" s="2">
        <v>0.4</v>
      </c>
      <c r="D350" s="3" t="s">
        <v>43</v>
      </c>
      <c r="E350" s="3" t="s">
        <v>44</v>
      </c>
      <c r="F350" s="3" t="s">
        <v>679</v>
      </c>
      <c r="G350" s="2" t="s">
        <v>393</v>
      </c>
      <c r="H350" s="2" t="s">
        <v>2112</v>
      </c>
      <c r="I350" s="2" t="s">
        <v>2112</v>
      </c>
      <c r="J350" s="2" t="s">
        <v>3093</v>
      </c>
      <c r="K350" s="2"/>
      <c r="L350" s="3"/>
      <c r="M350" s="3"/>
      <c r="N350" s="2" t="s">
        <v>3094</v>
      </c>
      <c r="O350" s="2"/>
      <c r="P350" s="2"/>
      <c r="Q350" s="2"/>
      <c r="R350" s="2"/>
      <c r="S350" s="2"/>
      <c r="T350" s="2"/>
      <c r="U350" s="2"/>
      <c r="V350" s="2"/>
      <c r="W350" s="2"/>
      <c r="X350" s="5"/>
      <c r="Y350" s="2"/>
      <c r="Z350" s="5"/>
      <c r="AA350" s="2">
        <v>103</v>
      </c>
      <c r="AB350" s="2"/>
      <c r="AC350" s="5"/>
      <c r="AD350" s="5" t="s">
        <v>3095</v>
      </c>
      <c r="AE350" s="3"/>
      <c r="AF350" s="6"/>
      <c r="AG350" s="7"/>
      <c r="AH350" s="2">
        <v>0</v>
      </c>
      <c r="AI350" s="7"/>
      <c r="AJ350" s="3"/>
      <c r="AK350" s="8"/>
      <c r="AL350" s="2" t="str">
        <f t="shared" si="5"/>
        <v/>
      </c>
      <c r="AM350" s="2"/>
      <c r="AN350" s="2" t="s">
        <v>3096</v>
      </c>
      <c r="AO350" s="2" t="s">
        <v>3097</v>
      </c>
      <c r="AP350" s="2"/>
    </row>
    <row r="351" spans="1:42" ht="25" x14ac:dyDescent="0.35">
      <c r="A351" s="2">
        <v>350</v>
      </c>
      <c r="B351" s="2" t="s">
        <v>2180</v>
      </c>
      <c r="C351" s="2">
        <v>0.4</v>
      </c>
      <c r="D351" s="3" t="s">
        <v>43</v>
      </c>
      <c r="E351" s="3" t="s">
        <v>44</v>
      </c>
      <c r="F351" s="3" t="s">
        <v>679</v>
      </c>
      <c r="G351" s="2" t="s">
        <v>393</v>
      </c>
      <c r="H351" s="2" t="s">
        <v>3098</v>
      </c>
      <c r="I351" s="2" t="s">
        <v>3098</v>
      </c>
      <c r="J351" s="2" t="s">
        <v>3099</v>
      </c>
      <c r="K351" s="2"/>
      <c r="L351" s="3"/>
      <c r="M351" s="3"/>
      <c r="N351" s="2" t="s">
        <v>3100</v>
      </c>
      <c r="O351" s="2"/>
      <c r="P351" s="2"/>
      <c r="Q351" s="2"/>
      <c r="R351" s="2"/>
      <c r="S351" s="2"/>
      <c r="T351" s="2"/>
      <c r="U351" s="2"/>
      <c r="V351" s="2"/>
      <c r="W351" s="2"/>
      <c r="X351" s="5"/>
      <c r="Y351" s="2"/>
      <c r="Z351" s="5"/>
      <c r="AA351" s="2">
        <v>108</v>
      </c>
      <c r="AB351" s="2"/>
      <c r="AC351" s="5"/>
      <c r="AD351" s="5" t="s">
        <v>3101</v>
      </c>
      <c r="AE351" s="3"/>
      <c r="AF351" s="6"/>
      <c r="AG351" s="7"/>
      <c r="AH351" s="2">
        <v>0</v>
      </c>
      <c r="AI351" s="7"/>
      <c r="AJ351" s="3"/>
      <c r="AK351" s="8"/>
      <c r="AL351" s="2" t="str">
        <f t="shared" si="5"/>
        <v/>
      </c>
      <c r="AM351" s="2"/>
      <c r="AN351" s="2" t="s">
        <v>3102</v>
      </c>
      <c r="AO351" s="2" t="s">
        <v>3103</v>
      </c>
      <c r="AP351" s="2"/>
    </row>
    <row r="352" spans="1:42" ht="62.5" x14ac:dyDescent="0.35">
      <c r="A352" s="2">
        <v>351</v>
      </c>
      <c r="B352" s="2" t="s">
        <v>2180</v>
      </c>
      <c r="C352" s="2">
        <v>0.4</v>
      </c>
      <c r="D352" s="3" t="s">
        <v>43</v>
      </c>
      <c r="E352" s="3" t="s">
        <v>44</v>
      </c>
      <c r="F352" s="3" t="s">
        <v>679</v>
      </c>
      <c r="G352" s="2" t="s">
        <v>393</v>
      </c>
      <c r="H352" s="2" t="s">
        <v>3104</v>
      </c>
      <c r="I352" s="2" t="s">
        <v>3104</v>
      </c>
      <c r="J352" s="2" t="s">
        <v>3105</v>
      </c>
      <c r="K352" s="2"/>
      <c r="L352" s="3"/>
      <c r="M352" s="3"/>
      <c r="N352" s="2" t="s">
        <v>3106</v>
      </c>
      <c r="O352" s="2"/>
      <c r="P352" s="2"/>
      <c r="Q352" s="2" t="s">
        <v>3107</v>
      </c>
      <c r="R352" s="2"/>
      <c r="S352" s="2"/>
      <c r="T352" s="2"/>
      <c r="U352" s="2"/>
      <c r="V352" s="2"/>
      <c r="W352" s="2"/>
      <c r="X352" s="5"/>
      <c r="Y352" s="2" t="s">
        <v>118</v>
      </c>
      <c r="Z352" s="5" t="s">
        <v>970</v>
      </c>
      <c r="AA352" s="2">
        <v>104</v>
      </c>
      <c r="AB352" s="2" t="s">
        <v>3108</v>
      </c>
      <c r="AC352" s="5"/>
      <c r="AD352" s="5" t="s">
        <v>3109</v>
      </c>
      <c r="AE352" s="3"/>
      <c r="AF352" s="6"/>
      <c r="AG352" s="7"/>
      <c r="AH352" s="2">
        <v>0</v>
      </c>
      <c r="AI352" s="7"/>
      <c r="AJ352" s="3"/>
      <c r="AK352" s="8"/>
      <c r="AL352" s="2" t="str">
        <f t="shared" si="5"/>
        <v/>
      </c>
      <c r="AM352" s="2"/>
      <c r="AN352" s="2" t="s">
        <v>3110</v>
      </c>
      <c r="AO352" s="2" t="s">
        <v>3111</v>
      </c>
      <c r="AP352" s="2"/>
    </row>
    <row r="353" spans="1:42" x14ac:dyDescent="0.35">
      <c r="A353" s="2">
        <v>352</v>
      </c>
      <c r="B353" s="2" t="s">
        <v>2180</v>
      </c>
      <c r="C353" s="2">
        <v>0.4</v>
      </c>
      <c r="D353" s="3" t="s">
        <v>43</v>
      </c>
      <c r="E353" s="3" t="s">
        <v>44</v>
      </c>
      <c r="F353" s="3" t="s">
        <v>679</v>
      </c>
      <c r="G353" s="2" t="s">
        <v>991</v>
      </c>
      <c r="H353" s="2" t="s">
        <v>2914</v>
      </c>
      <c r="I353" s="2" t="s">
        <v>2915</v>
      </c>
      <c r="J353" s="2" t="s">
        <v>3112</v>
      </c>
      <c r="K353" s="2"/>
      <c r="L353" s="3"/>
      <c r="M353" s="3"/>
      <c r="N353" s="2" t="s">
        <v>3113</v>
      </c>
      <c r="O353" s="2"/>
      <c r="P353" s="2"/>
      <c r="Q353" s="2" t="s">
        <v>3114</v>
      </c>
      <c r="R353" s="4" t="s">
        <v>3115</v>
      </c>
      <c r="S353" s="2"/>
      <c r="T353" s="2"/>
      <c r="U353" s="2"/>
      <c r="V353" s="2"/>
      <c r="W353" s="2"/>
      <c r="X353" s="5"/>
      <c r="Y353" s="2"/>
      <c r="Z353" s="5"/>
      <c r="AA353" s="2">
        <v>90</v>
      </c>
      <c r="AB353" s="2"/>
      <c r="AC353" s="5"/>
      <c r="AD353" s="5" t="s">
        <v>3116</v>
      </c>
      <c r="AE353" s="3"/>
      <c r="AF353" s="6"/>
      <c r="AG353" s="7"/>
      <c r="AH353" s="2">
        <v>0</v>
      </c>
      <c r="AI353" s="7"/>
      <c r="AJ353" s="3"/>
      <c r="AK353" s="8"/>
      <c r="AL353" s="2" t="str">
        <f t="shared" si="5"/>
        <v/>
      </c>
      <c r="AM353" s="2"/>
      <c r="AN353" s="2" t="s">
        <v>3117</v>
      </c>
      <c r="AO353" s="2" t="s">
        <v>3118</v>
      </c>
      <c r="AP353" s="2"/>
    </row>
    <row r="354" spans="1:42" ht="37.5" x14ac:dyDescent="0.35">
      <c r="A354" s="2">
        <v>353</v>
      </c>
      <c r="B354" s="2" t="s">
        <v>2180</v>
      </c>
      <c r="C354" s="2">
        <v>0.4</v>
      </c>
      <c r="D354" s="3" t="s">
        <v>43</v>
      </c>
      <c r="E354" s="3" t="s">
        <v>44</v>
      </c>
      <c r="F354" s="3" t="s">
        <v>679</v>
      </c>
      <c r="G354" s="2" t="s">
        <v>991</v>
      </c>
      <c r="H354" s="2" t="s">
        <v>2914</v>
      </c>
      <c r="I354" s="2" t="s">
        <v>2914</v>
      </c>
      <c r="J354" s="2" t="s">
        <v>3119</v>
      </c>
      <c r="K354" s="2"/>
      <c r="L354" s="3"/>
      <c r="M354" s="3"/>
      <c r="N354" s="2" t="s">
        <v>3120</v>
      </c>
      <c r="O354" s="2" t="s">
        <v>3121</v>
      </c>
      <c r="P354" s="2"/>
      <c r="Q354" s="2"/>
      <c r="R354" s="2"/>
      <c r="S354" s="2"/>
      <c r="T354" s="2"/>
      <c r="U354" s="2">
        <v>5</v>
      </c>
      <c r="V354" s="2">
        <v>1</v>
      </c>
      <c r="W354" s="2"/>
      <c r="X354" s="5"/>
      <c r="Y354" s="2" t="s">
        <v>66</v>
      </c>
      <c r="Z354" s="5" t="s">
        <v>3122</v>
      </c>
      <c r="AA354" s="2">
        <v>92</v>
      </c>
      <c r="AB354" s="2"/>
      <c r="AC354" s="5"/>
      <c r="AD354" s="5" t="s">
        <v>3116</v>
      </c>
      <c r="AE354" s="3"/>
      <c r="AF354" s="6"/>
      <c r="AG354" s="7"/>
      <c r="AH354" s="2">
        <v>0</v>
      </c>
      <c r="AI354" s="7"/>
      <c r="AJ354" s="3"/>
      <c r="AK354" s="8"/>
      <c r="AL354" s="2" t="str">
        <f t="shared" si="5"/>
        <v>Abrir WhatsApp</v>
      </c>
      <c r="AM354" s="2"/>
      <c r="AN354" s="2" t="s">
        <v>3123</v>
      </c>
      <c r="AO354" s="2" t="s">
        <v>3124</v>
      </c>
      <c r="AP354" s="2"/>
    </row>
    <row r="355" spans="1:42" x14ac:dyDescent="0.35">
      <c r="A355" s="2">
        <v>354</v>
      </c>
      <c r="B355" s="2" t="s">
        <v>2180</v>
      </c>
      <c r="C355" s="2">
        <v>0.4</v>
      </c>
      <c r="D355" s="3" t="s">
        <v>43</v>
      </c>
      <c r="E355" s="3" t="s">
        <v>44</v>
      </c>
      <c r="F355" s="3" t="s">
        <v>679</v>
      </c>
      <c r="G355" s="2" t="s">
        <v>991</v>
      </c>
      <c r="H355" s="2" t="s">
        <v>3125</v>
      </c>
      <c r="I355" s="2" t="s">
        <v>3125</v>
      </c>
      <c r="J355" s="2" t="s">
        <v>3126</v>
      </c>
      <c r="K355" s="2"/>
      <c r="L355" s="3"/>
      <c r="M355" s="3"/>
      <c r="N355" s="2" t="s">
        <v>3127</v>
      </c>
      <c r="O355" s="2"/>
      <c r="P355" s="2"/>
      <c r="Q355" s="2"/>
      <c r="R355" s="2"/>
      <c r="S355" s="2"/>
      <c r="T355" s="2"/>
      <c r="U355" s="2"/>
      <c r="V355" s="2"/>
      <c r="W355" s="2"/>
      <c r="X355" s="5"/>
      <c r="Y355" s="2"/>
      <c r="Z355" s="5"/>
      <c r="AA355" s="2">
        <v>95</v>
      </c>
      <c r="AB355" s="2"/>
      <c r="AC355" s="5"/>
      <c r="AD355" s="5" t="s">
        <v>3084</v>
      </c>
      <c r="AE355" s="3"/>
      <c r="AF355" s="6"/>
      <c r="AG355" s="7"/>
      <c r="AH355" s="2">
        <v>0</v>
      </c>
      <c r="AI355" s="7"/>
      <c r="AJ355" s="3"/>
      <c r="AK355" s="8"/>
      <c r="AL355" s="2" t="str">
        <f t="shared" si="5"/>
        <v/>
      </c>
      <c r="AM355" s="2"/>
      <c r="AN355" s="2" t="s">
        <v>3128</v>
      </c>
      <c r="AO355" s="2" t="s">
        <v>3129</v>
      </c>
      <c r="AP355" s="2"/>
    </row>
    <row r="356" spans="1:42" ht="25" x14ac:dyDescent="0.35">
      <c r="A356" s="2">
        <v>355</v>
      </c>
      <c r="B356" s="2" t="s">
        <v>2180</v>
      </c>
      <c r="C356" s="2">
        <v>0.4</v>
      </c>
      <c r="D356" s="3" t="s">
        <v>43</v>
      </c>
      <c r="E356" s="3" t="s">
        <v>44</v>
      </c>
      <c r="F356" s="3" t="s">
        <v>679</v>
      </c>
      <c r="G356" s="2" t="s">
        <v>991</v>
      </c>
      <c r="H356" s="2" t="s">
        <v>2914</v>
      </c>
      <c r="I356" s="2" t="s">
        <v>3130</v>
      </c>
      <c r="J356" s="2" t="s">
        <v>3131</v>
      </c>
      <c r="K356" s="2"/>
      <c r="L356" s="3"/>
      <c r="M356" s="3"/>
      <c r="N356" s="2" t="s">
        <v>3132</v>
      </c>
      <c r="O356" s="2" t="s">
        <v>3133</v>
      </c>
      <c r="P356" s="2"/>
      <c r="Q356" s="2"/>
      <c r="R356" s="4" t="s">
        <v>3134</v>
      </c>
      <c r="S356" s="4" t="s">
        <v>3135</v>
      </c>
      <c r="T356" s="2"/>
      <c r="U356" s="2">
        <v>4.3</v>
      </c>
      <c r="V356" s="2">
        <v>3</v>
      </c>
      <c r="W356" s="2"/>
      <c r="X356" s="5" t="s">
        <v>3136</v>
      </c>
      <c r="Y356" s="2" t="s">
        <v>118</v>
      </c>
      <c r="Z356" s="5" t="s">
        <v>3137</v>
      </c>
      <c r="AA356" s="2">
        <v>108</v>
      </c>
      <c r="AB356" s="2" t="s">
        <v>3138</v>
      </c>
      <c r="AC356" s="5"/>
      <c r="AD356" s="5" t="s">
        <v>3139</v>
      </c>
      <c r="AE356" s="3"/>
      <c r="AF356" s="6"/>
      <c r="AG356" s="7"/>
      <c r="AH356" s="2">
        <v>0</v>
      </c>
      <c r="AI356" s="7"/>
      <c r="AJ356" s="3"/>
      <c r="AK356" s="8"/>
      <c r="AL356" s="2" t="str">
        <f t="shared" si="5"/>
        <v>Abrir WhatsApp</v>
      </c>
      <c r="AM356" s="2" t="s">
        <v>3140</v>
      </c>
      <c r="AN356" s="2" t="s">
        <v>3141</v>
      </c>
      <c r="AO356" s="2" t="s">
        <v>3142</v>
      </c>
      <c r="AP356" s="2"/>
    </row>
    <row r="357" spans="1:42" ht="25" x14ac:dyDescent="0.35">
      <c r="A357" s="2">
        <v>356</v>
      </c>
      <c r="B357" s="2" t="s">
        <v>2180</v>
      </c>
      <c r="C357" s="2">
        <v>0.2</v>
      </c>
      <c r="D357" s="3" t="s">
        <v>43</v>
      </c>
      <c r="E357" s="3" t="s">
        <v>44</v>
      </c>
      <c r="F357" s="3" t="s">
        <v>679</v>
      </c>
      <c r="G357" s="2" t="s">
        <v>1159</v>
      </c>
      <c r="H357" s="2" t="s">
        <v>3143</v>
      </c>
      <c r="I357" s="2" t="s">
        <v>3143</v>
      </c>
      <c r="J357" s="2" t="s">
        <v>3144</v>
      </c>
      <c r="K357" s="2"/>
      <c r="L357" s="3"/>
      <c r="M357" s="3"/>
      <c r="N357" s="2" t="s">
        <v>3145</v>
      </c>
      <c r="O357" s="2"/>
      <c r="P357" s="2"/>
      <c r="Q357" s="2"/>
      <c r="R357" s="2"/>
      <c r="S357" s="4" t="s">
        <v>3146</v>
      </c>
      <c r="T357" s="2"/>
      <c r="U357" s="2">
        <v>5</v>
      </c>
      <c r="V357" s="2">
        <v>6</v>
      </c>
      <c r="W357" s="2"/>
      <c r="X357" s="5"/>
      <c r="Y357" s="2" t="s">
        <v>66</v>
      </c>
      <c r="Z357" s="5" t="s">
        <v>3147</v>
      </c>
      <c r="AA357" s="2">
        <v>59</v>
      </c>
      <c r="AB357" s="2"/>
      <c r="AC357" s="5"/>
      <c r="AD357" s="5" t="s">
        <v>3148</v>
      </c>
      <c r="AE357" s="3"/>
      <c r="AF357" s="6"/>
      <c r="AG357" s="7"/>
      <c r="AH357" s="2">
        <v>0</v>
      </c>
      <c r="AI357" s="7"/>
      <c r="AJ357" s="3"/>
      <c r="AK357" s="8"/>
      <c r="AL357" s="2" t="str">
        <f t="shared" si="5"/>
        <v/>
      </c>
      <c r="AM357" s="2"/>
      <c r="AN357" s="2" t="s">
        <v>3149</v>
      </c>
      <c r="AO357" s="2" t="s">
        <v>3150</v>
      </c>
      <c r="AP357" s="2"/>
    </row>
    <row r="358" spans="1:42" x14ac:dyDescent="0.35">
      <c r="A358" s="2">
        <v>357</v>
      </c>
      <c r="B358" s="2" t="s">
        <v>2180</v>
      </c>
      <c r="C358" s="2">
        <v>0.2</v>
      </c>
      <c r="D358" s="3" t="s">
        <v>43</v>
      </c>
      <c r="E358" s="3" t="s">
        <v>44</v>
      </c>
      <c r="F358" s="3" t="s">
        <v>679</v>
      </c>
      <c r="G358" s="2" t="s">
        <v>1159</v>
      </c>
      <c r="H358" s="2" t="s">
        <v>3151</v>
      </c>
      <c r="I358" s="2" t="s">
        <v>3151</v>
      </c>
      <c r="J358" s="2" t="s">
        <v>3152</v>
      </c>
      <c r="K358" s="2"/>
      <c r="L358" s="3"/>
      <c r="M358" s="3"/>
      <c r="N358" s="2" t="s">
        <v>3153</v>
      </c>
      <c r="O358" s="2"/>
      <c r="P358" s="2"/>
      <c r="Q358" s="2" t="s">
        <v>3154</v>
      </c>
      <c r="R358" s="2"/>
      <c r="S358" s="2"/>
      <c r="T358" s="2"/>
      <c r="U358" s="2"/>
      <c r="V358" s="2"/>
      <c r="W358" s="2"/>
      <c r="X358" s="5"/>
      <c r="Y358" s="2"/>
      <c r="Z358" s="5"/>
      <c r="AA358" s="2">
        <v>47</v>
      </c>
      <c r="AB358" s="2"/>
      <c r="AC358" s="5"/>
      <c r="AD358" s="5" t="s">
        <v>3148</v>
      </c>
      <c r="AE358" s="3"/>
      <c r="AF358" s="6"/>
      <c r="AG358" s="7"/>
      <c r="AH358" s="2">
        <v>0</v>
      </c>
      <c r="AI358" s="7"/>
      <c r="AJ358" s="3"/>
      <c r="AK358" s="8"/>
      <c r="AL358" s="2" t="str">
        <f t="shared" si="5"/>
        <v/>
      </c>
      <c r="AM358" s="2"/>
      <c r="AN358" s="2" t="s">
        <v>3155</v>
      </c>
      <c r="AO358" s="2" t="s">
        <v>3156</v>
      </c>
      <c r="AP358" s="2"/>
    </row>
    <row r="359" spans="1:42" ht="37.5" x14ac:dyDescent="0.35">
      <c r="A359" s="2">
        <v>358</v>
      </c>
      <c r="B359" s="2" t="s">
        <v>2180</v>
      </c>
      <c r="C359" s="2">
        <v>0</v>
      </c>
      <c r="D359" s="3" t="s">
        <v>43</v>
      </c>
      <c r="E359" s="3" t="s">
        <v>44</v>
      </c>
      <c r="F359" s="3" t="s">
        <v>679</v>
      </c>
      <c r="G359" s="2" t="s">
        <v>393</v>
      </c>
      <c r="H359" s="2" t="s">
        <v>393</v>
      </c>
      <c r="I359" s="2" t="s">
        <v>3157</v>
      </c>
      <c r="J359" s="2" t="s">
        <v>3158</v>
      </c>
      <c r="K359" s="2"/>
      <c r="L359" s="3"/>
      <c r="M359" s="3"/>
      <c r="N359" s="2" t="s">
        <v>3159</v>
      </c>
      <c r="O359" s="2" t="s">
        <v>3160</v>
      </c>
      <c r="P359" s="2"/>
      <c r="Q359" s="2"/>
      <c r="R359" s="2"/>
      <c r="S359" s="4" t="s">
        <v>3161</v>
      </c>
      <c r="T359" s="4" t="s">
        <v>3162</v>
      </c>
      <c r="U359" s="2">
        <v>4.3</v>
      </c>
      <c r="V359" s="2">
        <v>11</v>
      </c>
      <c r="W359" s="2"/>
      <c r="X359" s="5"/>
      <c r="Y359" s="2" t="s">
        <v>66</v>
      </c>
      <c r="Z359" s="5" t="s">
        <v>3163</v>
      </c>
      <c r="AA359" s="2"/>
      <c r="AB359" s="2" t="s">
        <v>2066</v>
      </c>
      <c r="AC359" s="5"/>
      <c r="AD359" s="5" t="s">
        <v>3164</v>
      </c>
      <c r="AE359" s="3"/>
      <c r="AF359" s="6"/>
      <c r="AG359" s="7"/>
      <c r="AH359" s="2">
        <v>0</v>
      </c>
      <c r="AI359" s="7"/>
      <c r="AJ359" s="3"/>
      <c r="AK359" s="8"/>
      <c r="AL359" s="2" t="str">
        <f t="shared" si="5"/>
        <v>Abrir WhatsApp</v>
      </c>
      <c r="AM359" s="2"/>
      <c r="AN359" s="2" t="s">
        <v>3165</v>
      </c>
      <c r="AO359" s="2" t="s">
        <v>3166</v>
      </c>
      <c r="AP359" s="2"/>
    </row>
    <row r="360" spans="1:42" ht="25" x14ac:dyDescent="0.35">
      <c r="A360" s="2">
        <v>359</v>
      </c>
      <c r="B360" s="2" t="s">
        <v>2180</v>
      </c>
      <c r="C360" s="2">
        <v>0</v>
      </c>
      <c r="D360" s="3" t="s">
        <v>43</v>
      </c>
      <c r="E360" s="3" t="s">
        <v>44</v>
      </c>
      <c r="F360" s="3" t="s">
        <v>679</v>
      </c>
      <c r="G360" s="2" t="s">
        <v>393</v>
      </c>
      <c r="H360" s="2" t="s">
        <v>3167</v>
      </c>
      <c r="I360" s="2" t="s">
        <v>3167</v>
      </c>
      <c r="J360" s="2" t="s">
        <v>3168</v>
      </c>
      <c r="K360" s="2"/>
      <c r="L360" s="3"/>
      <c r="M360" s="3"/>
      <c r="N360" s="2"/>
      <c r="O360" s="2" t="s">
        <v>3169</v>
      </c>
      <c r="P360" s="2"/>
      <c r="Q360" s="2"/>
      <c r="R360" s="2"/>
      <c r="S360" s="4" t="s">
        <v>3170</v>
      </c>
      <c r="T360" s="2"/>
      <c r="U360" s="2"/>
      <c r="V360" s="2"/>
      <c r="W360" s="2"/>
      <c r="X360" s="5"/>
      <c r="Y360" s="2"/>
      <c r="Z360" s="5"/>
      <c r="AA360" s="2"/>
      <c r="AB360" s="2"/>
      <c r="AC360" s="5"/>
      <c r="AD360" s="5" t="s">
        <v>3171</v>
      </c>
      <c r="AE360" s="3"/>
      <c r="AF360" s="6"/>
      <c r="AG360" s="7"/>
      <c r="AH360" s="2">
        <v>0</v>
      </c>
      <c r="AI360" s="7"/>
      <c r="AJ360" s="3"/>
      <c r="AK360" s="8"/>
      <c r="AL360" s="2" t="str">
        <f t="shared" si="5"/>
        <v>Abrir WhatsApp</v>
      </c>
      <c r="AM360" s="2"/>
      <c r="AN360" s="2" t="s">
        <v>3172</v>
      </c>
      <c r="AO360" s="2" t="s">
        <v>3173</v>
      </c>
      <c r="AP360" s="2"/>
    </row>
    <row r="361" spans="1:42" ht="62.5" x14ac:dyDescent="0.35">
      <c r="A361" s="2">
        <v>360</v>
      </c>
      <c r="B361" s="2" t="s">
        <v>2180</v>
      </c>
      <c r="C361" s="2">
        <v>0</v>
      </c>
      <c r="D361" s="3" t="s">
        <v>43</v>
      </c>
      <c r="E361" s="3" t="s">
        <v>44</v>
      </c>
      <c r="F361" s="3" t="s">
        <v>679</v>
      </c>
      <c r="G361" s="2" t="s">
        <v>393</v>
      </c>
      <c r="H361" s="2" t="s">
        <v>3098</v>
      </c>
      <c r="I361" s="2" t="s">
        <v>3098</v>
      </c>
      <c r="J361" s="2" t="s">
        <v>3174</v>
      </c>
      <c r="K361" s="2"/>
      <c r="L361" s="3"/>
      <c r="M361" s="3"/>
      <c r="N361" s="2" t="s">
        <v>3175</v>
      </c>
      <c r="O361" s="2"/>
      <c r="P361" s="2"/>
      <c r="Q361" s="2"/>
      <c r="R361" s="2"/>
      <c r="S361" s="2"/>
      <c r="T361" s="2"/>
      <c r="U361" s="2"/>
      <c r="V361" s="2"/>
      <c r="W361" s="2"/>
      <c r="X361" s="5"/>
      <c r="Y361" s="2"/>
      <c r="Z361" s="5"/>
      <c r="AA361" s="2"/>
      <c r="AB361" s="2"/>
      <c r="AC361" s="5"/>
      <c r="AD361" s="5" t="s">
        <v>3176</v>
      </c>
      <c r="AE361" s="3"/>
      <c r="AF361" s="6"/>
      <c r="AG361" s="7"/>
      <c r="AH361" s="2">
        <v>0</v>
      </c>
      <c r="AI361" s="7"/>
      <c r="AJ361" s="3"/>
      <c r="AK361" s="8"/>
      <c r="AL361" s="2" t="str">
        <f t="shared" si="5"/>
        <v/>
      </c>
      <c r="AM361" s="2"/>
      <c r="AN361" s="2" t="s">
        <v>3177</v>
      </c>
      <c r="AO361" s="2" t="s">
        <v>3178</v>
      </c>
      <c r="AP361" s="2"/>
    </row>
    <row r="362" spans="1:42" ht="37.5" x14ac:dyDescent="0.35">
      <c r="A362" s="2">
        <v>361</v>
      </c>
      <c r="B362" s="2" t="s">
        <v>2180</v>
      </c>
      <c r="C362" s="2">
        <v>0</v>
      </c>
      <c r="D362" s="3" t="s">
        <v>43</v>
      </c>
      <c r="E362" s="3" t="s">
        <v>44</v>
      </c>
      <c r="F362" s="3" t="s">
        <v>679</v>
      </c>
      <c r="G362" s="2" t="s">
        <v>1159</v>
      </c>
      <c r="H362" s="2" t="s">
        <v>1537</v>
      </c>
      <c r="I362" s="2" t="s">
        <v>1537</v>
      </c>
      <c r="J362" s="2" t="s">
        <v>3179</v>
      </c>
      <c r="K362" s="2"/>
      <c r="L362" s="3"/>
      <c r="M362" s="3"/>
      <c r="N362" s="2"/>
      <c r="O362" s="2"/>
      <c r="P362" s="2"/>
      <c r="Q362" s="2"/>
      <c r="R362" s="2"/>
      <c r="S362" s="2"/>
      <c r="T362" s="2"/>
      <c r="U362" s="2">
        <v>4.3</v>
      </c>
      <c r="V362" s="2">
        <v>3</v>
      </c>
      <c r="W362" s="2"/>
      <c r="X362" s="5"/>
      <c r="Y362" s="2"/>
      <c r="Z362" s="5"/>
      <c r="AA362" s="2"/>
      <c r="AB362" s="2"/>
      <c r="AC362" s="5"/>
      <c r="AD362" s="5" t="s">
        <v>3180</v>
      </c>
      <c r="AE362" s="3"/>
      <c r="AF362" s="6"/>
      <c r="AG362" s="7"/>
      <c r="AH362" s="2">
        <v>0</v>
      </c>
      <c r="AI362" s="7"/>
      <c r="AJ362" s="3"/>
      <c r="AK362" s="8"/>
      <c r="AL362" s="2" t="str">
        <f t="shared" si="5"/>
        <v/>
      </c>
      <c r="AM362" s="2"/>
      <c r="AN362" s="2" t="s">
        <v>3181</v>
      </c>
      <c r="AO362" s="2" t="s">
        <v>3182</v>
      </c>
      <c r="AP362" s="2"/>
    </row>
    <row r="363" spans="1:42" ht="25" x14ac:dyDescent="0.35">
      <c r="A363" s="2">
        <v>362</v>
      </c>
      <c r="B363" s="2" t="s">
        <v>3183</v>
      </c>
      <c r="C363" s="2">
        <v>0</v>
      </c>
      <c r="D363" s="3" t="s">
        <v>43</v>
      </c>
      <c r="E363" s="3" t="s">
        <v>44</v>
      </c>
      <c r="F363" s="3" t="s">
        <v>679</v>
      </c>
      <c r="G363" s="2" t="s">
        <v>46</v>
      </c>
      <c r="H363" s="2" t="s">
        <v>47</v>
      </c>
      <c r="I363" s="2" t="s">
        <v>47</v>
      </c>
      <c r="J363" s="2" t="s">
        <v>3184</v>
      </c>
      <c r="K363" s="2"/>
      <c r="L363" s="3"/>
      <c r="M363" s="3"/>
      <c r="N363" s="2" t="s">
        <v>3185</v>
      </c>
      <c r="O363" s="2" t="s">
        <v>3186</v>
      </c>
      <c r="P363" s="2"/>
      <c r="Q363" s="2"/>
      <c r="R363" s="2"/>
      <c r="S363" s="4" t="s">
        <v>3187</v>
      </c>
      <c r="T363" s="2"/>
      <c r="U363" s="2"/>
      <c r="V363" s="2"/>
      <c r="W363" s="2"/>
      <c r="X363" s="5"/>
      <c r="Y363" s="2"/>
      <c r="Z363" s="5"/>
      <c r="AA363" s="2"/>
      <c r="AB363" s="2"/>
      <c r="AC363" s="5"/>
      <c r="AD363" s="5" t="s">
        <v>3188</v>
      </c>
      <c r="AE363" s="3"/>
      <c r="AF363" s="6"/>
      <c r="AG363" s="7"/>
      <c r="AH363" s="2">
        <v>0</v>
      </c>
      <c r="AI363" s="7"/>
      <c r="AJ363" s="3"/>
      <c r="AK363" s="8"/>
      <c r="AL363" s="2" t="str">
        <f t="shared" si="5"/>
        <v>Abrir WhatsApp</v>
      </c>
      <c r="AM363" s="2"/>
      <c r="AN363" s="2" t="s">
        <v>3189</v>
      </c>
      <c r="AO363" s="2" t="s">
        <v>3190</v>
      </c>
      <c r="AP363" s="2"/>
    </row>
    <row r="364" spans="1:42" ht="25" x14ac:dyDescent="0.35">
      <c r="A364" s="2">
        <v>363</v>
      </c>
      <c r="B364" s="2" t="s">
        <v>3183</v>
      </c>
      <c r="C364" s="2">
        <v>0</v>
      </c>
      <c r="D364" s="3" t="s">
        <v>43</v>
      </c>
      <c r="E364" s="3" t="s">
        <v>44</v>
      </c>
      <c r="F364" s="3" t="s">
        <v>679</v>
      </c>
      <c r="G364" s="2" t="s">
        <v>46</v>
      </c>
      <c r="H364" s="2" t="s">
        <v>46</v>
      </c>
      <c r="I364" s="2" t="s">
        <v>46</v>
      </c>
      <c r="J364" s="2" t="s">
        <v>3191</v>
      </c>
      <c r="K364" s="2"/>
      <c r="L364" s="3"/>
      <c r="M364" s="3"/>
      <c r="N364" s="2" t="s">
        <v>3192</v>
      </c>
      <c r="O364" s="2"/>
      <c r="P364" s="2"/>
      <c r="Q364" s="2"/>
      <c r="R364" s="2"/>
      <c r="S364" s="2"/>
      <c r="T364" s="2"/>
      <c r="U364" s="2"/>
      <c r="V364" s="2"/>
      <c r="W364" s="2"/>
      <c r="X364" s="5"/>
      <c r="Y364" s="2"/>
      <c r="Z364" s="5"/>
      <c r="AA364" s="2"/>
      <c r="AB364" s="2"/>
      <c r="AC364" s="5"/>
      <c r="AD364" s="5" t="s">
        <v>3193</v>
      </c>
      <c r="AE364" s="3"/>
      <c r="AF364" s="6"/>
      <c r="AG364" s="7"/>
      <c r="AH364" s="2">
        <v>0</v>
      </c>
      <c r="AI364" s="7"/>
      <c r="AJ364" s="3"/>
      <c r="AK364" s="8"/>
      <c r="AL364" s="2" t="str">
        <f t="shared" si="5"/>
        <v/>
      </c>
      <c r="AM364" s="2"/>
      <c r="AN364" s="2" t="s">
        <v>3194</v>
      </c>
      <c r="AO364" s="2" t="s">
        <v>3195</v>
      </c>
      <c r="AP364" s="2"/>
    </row>
    <row r="365" spans="1:42" ht="37.5" x14ac:dyDescent="0.35">
      <c r="A365" s="2">
        <v>364</v>
      </c>
      <c r="B365" s="2" t="s">
        <v>3183</v>
      </c>
      <c r="C365" s="2">
        <v>0</v>
      </c>
      <c r="D365" s="3" t="s">
        <v>43</v>
      </c>
      <c r="E365" s="3" t="s">
        <v>44</v>
      </c>
      <c r="F365" s="3" t="s">
        <v>679</v>
      </c>
      <c r="G365" s="2" t="s">
        <v>46</v>
      </c>
      <c r="H365" s="2" t="s">
        <v>46</v>
      </c>
      <c r="I365" s="2" t="s">
        <v>3196</v>
      </c>
      <c r="J365" s="2" t="s">
        <v>3197</v>
      </c>
      <c r="K365" s="2"/>
      <c r="L365" s="3"/>
      <c r="M365" s="3"/>
      <c r="N365" s="2" t="s">
        <v>3198</v>
      </c>
      <c r="O365" s="2"/>
      <c r="P365" s="2"/>
      <c r="Q365" s="2"/>
      <c r="R365" s="2"/>
      <c r="S365" s="2"/>
      <c r="T365" s="2"/>
      <c r="U365" s="2"/>
      <c r="V365" s="2"/>
      <c r="W365" s="2"/>
      <c r="X365" s="5"/>
      <c r="Y365" s="2"/>
      <c r="Z365" s="5"/>
      <c r="AA365" s="2"/>
      <c r="AB365" s="2"/>
      <c r="AC365" s="5"/>
      <c r="AD365" s="5" t="s">
        <v>3199</v>
      </c>
      <c r="AE365" s="3"/>
      <c r="AF365" s="6"/>
      <c r="AG365" s="7"/>
      <c r="AH365" s="2">
        <v>0</v>
      </c>
      <c r="AI365" s="7"/>
      <c r="AJ365" s="3"/>
      <c r="AK365" s="8"/>
      <c r="AL365" s="2" t="str">
        <f t="shared" si="5"/>
        <v/>
      </c>
      <c r="AM365" s="2"/>
      <c r="AN365" s="2" t="s">
        <v>3200</v>
      </c>
      <c r="AO365" s="2" t="s">
        <v>3201</v>
      </c>
      <c r="AP365" s="2"/>
    </row>
    <row r="366" spans="1:42" ht="37.5" x14ac:dyDescent="0.35">
      <c r="A366" s="2">
        <v>365</v>
      </c>
      <c r="B366" s="2" t="s">
        <v>3183</v>
      </c>
      <c r="C366" s="2">
        <v>0</v>
      </c>
      <c r="D366" s="3" t="s">
        <v>43</v>
      </c>
      <c r="E366" s="3" t="s">
        <v>44</v>
      </c>
      <c r="F366" s="3" t="s">
        <v>679</v>
      </c>
      <c r="G366" s="2" t="s">
        <v>46</v>
      </c>
      <c r="H366" s="2" t="s">
        <v>143</v>
      </c>
      <c r="I366" s="2" t="s">
        <v>143</v>
      </c>
      <c r="J366" s="2" t="s">
        <v>3202</v>
      </c>
      <c r="K366" s="2"/>
      <c r="L366" s="3"/>
      <c r="M366" s="3"/>
      <c r="N366" s="2" t="s">
        <v>3203</v>
      </c>
      <c r="O366" s="2"/>
      <c r="P366" s="2"/>
      <c r="Q366" s="2"/>
      <c r="R366" s="2"/>
      <c r="S366" s="2"/>
      <c r="T366" s="2"/>
      <c r="U366" s="2"/>
      <c r="V366" s="2"/>
      <c r="W366" s="2"/>
      <c r="X366" s="5"/>
      <c r="Y366" s="2"/>
      <c r="Z366" s="5"/>
      <c r="AA366" s="2"/>
      <c r="AB366" s="2"/>
      <c r="AC366" s="5"/>
      <c r="AD366" s="5" t="s">
        <v>3204</v>
      </c>
      <c r="AE366" s="3"/>
      <c r="AF366" s="6"/>
      <c r="AG366" s="7"/>
      <c r="AH366" s="2">
        <v>0</v>
      </c>
      <c r="AI366" s="7"/>
      <c r="AJ366" s="3"/>
      <c r="AK366" s="8"/>
      <c r="AL366" s="2" t="str">
        <f t="shared" si="5"/>
        <v/>
      </c>
      <c r="AM366" s="2"/>
      <c r="AN366" s="2" t="s">
        <v>3205</v>
      </c>
      <c r="AO366" s="2" t="s">
        <v>3206</v>
      </c>
      <c r="AP366" s="2"/>
    </row>
    <row r="367" spans="1:42" ht="25" x14ac:dyDescent="0.35">
      <c r="A367" s="2">
        <v>366</v>
      </c>
      <c r="B367" s="2" t="s">
        <v>3183</v>
      </c>
      <c r="C367" s="2">
        <v>0</v>
      </c>
      <c r="D367" s="3" t="s">
        <v>43</v>
      </c>
      <c r="E367" s="3" t="s">
        <v>44</v>
      </c>
      <c r="F367" s="3" t="s">
        <v>679</v>
      </c>
      <c r="G367" s="2" t="s">
        <v>46</v>
      </c>
      <c r="H367" s="2" t="s">
        <v>46</v>
      </c>
      <c r="I367" s="2" t="s">
        <v>3207</v>
      </c>
      <c r="J367" s="2" t="s">
        <v>3208</v>
      </c>
      <c r="K367" s="2"/>
      <c r="L367" s="3"/>
      <c r="M367" s="3"/>
      <c r="N367" s="2" t="s">
        <v>3209</v>
      </c>
      <c r="O367" s="2"/>
      <c r="P367" s="2"/>
      <c r="Q367" s="2"/>
      <c r="R367" s="2"/>
      <c r="S367" s="2"/>
      <c r="T367" s="2"/>
      <c r="U367" s="2"/>
      <c r="V367" s="2"/>
      <c r="W367" s="2"/>
      <c r="X367" s="5"/>
      <c r="Y367" s="2"/>
      <c r="Z367" s="5"/>
      <c r="AA367" s="2"/>
      <c r="AB367" s="2"/>
      <c r="AC367" s="5"/>
      <c r="AD367" s="5" t="s">
        <v>3193</v>
      </c>
      <c r="AE367" s="3"/>
      <c r="AF367" s="6"/>
      <c r="AG367" s="7"/>
      <c r="AH367" s="2">
        <v>0</v>
      </c>
      <c r="AI367" s="7"/>
      <c r="AJ367" s="3"/>
      <c r="AK367" s="8"/>
      <c r="AL367" s="2" t="str">
        <f t="shared" si="5"/>
        <v/>
      </c>
      <c r="AM367" s="2"/>
      <c r="AN367" s="2" t="s">
        <v>3210</v>
      </c>
      <c r="AO367" s="2" t="s">
        <v>3211</v>
      </c>
      <c r="AP367" s="2"/>
    </row>
    <row r="368" spans="1:42" ht="37.5" x14ac:dyDescent="0.35">
      <c r="A368" s="2">
        <v>367</v>
      </c>
      <c r="B368" s="2" t="s">
        <v>3183</v>
      </c>
      <c r="C368" s="2">
        <v>0</v>
      </c>
      <c r="D368" s="3" t="s">
        <v>43</v>
      </c>
      <c r="E368" s="3" t="s">
        <v>44</v>
      </c>
      <c r="F368" s="3" t="s">
        <v>679</v>
      </c>
      <c r="G368" s="2" t="s">
        <v>46</v>
      </c>
      <c r="H368" s="2" t="s">
        <v>161</v>
      </c>
      <c r="I368" s="2" t="s">
        <v>3212</v>
      </c>
      <c r="J368" s="2" t="s">
        <v>3213</v>
      </c>
      <c r="K368" s="2"/>
      <c r="L368" s="3"/>
      <c r="M368" s="3"/>
      <c r="N368" s="2" t="s">
        <v>3214</v>
      </c>
      <c r="O368" s="2"/>
      <c r="P368" s="2"/>
      <c r="Q368" s="2"/>
      <c r="R368" s="2"/>
      <c r="S368" s="2"/>
      <c r="T368" s="2"/>
      <c r="U368" s="2"/>
      <c r="V368" s="2"/>
      <c r="W368" s="2"/>
      <c r="X368" s="5"/>
      <c r="Y368" s="2"/>
      <c r="Z368" s="5"/>
      <c r="AA368" s="2"/>
      <c r="AB368" s="2"/>
      <c r="AC368" s="5"/>
      <c r="AD368" s="5" t="s">
        <v>3199</v>
      </c>
      <c r="AE368" s="3"/>
      <c r="AF368" s="6"/>
      <c r="AG368" s="7"/>
      <c r="AH368" s="2">
        <v>0</v>
      </c>
      <c r="AI368" s="7"/>
      <c r="AJ368" s="3"/>
      <c r="AK368" s="8"/>
      <c r="AL368" s="2" t="str">
        <f t="shared" si="5"/>
        <v/>
      </c>
      <c r="AM368" s="2"/>
      <c r="AN368" s="2" t="s">
        <v>3215</v>
      </c>
      <c r="AO368" s="2" t="s">
        <v>3216</v>
      </c>
      <c r="AP368" s="2"/>
    </row>
    <row r="369" spans="1:42" ht="37.5" x14ac:dyDescent="0.35">
      <c r="A369" s="2">
        <v>368</v>
      </c>
      <c r="B369" s="2" t="s">
        <v>3183</v>
      </c>
      <c r="C369" s="2">
        <v>0</v>
      </c>
      <c r="D369" s="3" t="s">
        <v>43</v>
      </c>
      <c r="E369" s="3" t="s">
        <v>44</v>
      </c>
      <c r="F369" s="3" t="s">
        <v>679</v>
      </c>
      <c r="G369" s="2" t="s">
        <v>46</v>
      </c>
      <c r="H369" s="2" t="s">
        <v>47</v>
      </c>
      <c r="I369" s="2" t="s">
        <v>47</v>
      </c>
      <c r="J369" s="2" t="s">
        <v>3217</v>
      </c>
      <c r="K369" s="2"/>
      <c r="L369" s="3"/>
      <c r="M369" s="3"/>
      <c r="N369" s="2" t="s">
        <v>3218</v>
      </c>
      <c r="O369" s="2" t="s">
        <v>3219</v>
      </c>
      <c r="P369" s="2"/>
      <c r="Q369" s="2"/>
      <c r="R369" s="2" t="s">
        <v>3220</v>
      </c>
      <c r="S369" s="4" t="s">
        <v>3221</v>
      </c>
      <c r="T369" s="2"/>
      <c r="U369" s="2"/>
      <c r="V369" s="2"/>
      <c r="W369" s="2"/>
      <c r="X369" s="5"/>
      <c r="Y369" s="2"/>
      <c r="Z369" s="5"/>
      <c r="AA369" s="2"/>
      <c r="AB369" s="2"/>
      <c r="AC369" s="5"/>
      <c r="AD369" s="5" t="s">
        <v>3222</v>
      </c>
      <c r="AE369" s="3"/>
      <c r="AF369" s="6"/>
      <c r="AG369" s="7"/>
      <c r="AH369" s="2">
        <v>0</v>
      </c>
      <c r="AI369" s="7"/>
      <c r="AJ369" s="3"/>
      <c r="AK369" s="8"/>
      <c r="AL369" s="2" t="str">
        <f t="shared" si="5"/>
        <v>Abrir WhatsApp</v>
      </c>
      <c r="AM369" s="2"/>
      <c r="AN369" s="2" t="s">
        <v>3223</v>
      </c>
      <c r="AO369" s="2" t="s">
        <v>3224</v>
      </c>
      <c r="AP369" s="2"/>
    </row>
    <row r="370" spans="1:42" ht="50" x14ac:dyDescent="0.35">
      <c r="A370" s="2">
        <v>369</v>
      </c>
      <c r="B370" s="2" t="s">
        <v>3183</v>
      </c>
      <c r="C370" s="2">
        <v>0</v>
      </c>
      <c r="D370" s="3" t="s">
        <v>43</v>
      </c>
      <c r="E370" s="3" t="s">
        <v>44</v>
      </c>
      <c r="F370" s="3" t="s">
        <v>679</v>
      </c>
      <c r="G370" s="2" t="s">
        <v>46</v>
      </c>
      <c r="H370" s="2" t="s">
        <v>161</v>
      </c>
      <c r="I370" s="2" t="s">
        <v>161</v>
      </c>
      <c r="J370" s="2" t="s">
        <v>3225</v>
      </c>
      <c r="K370" s="2"/>
      <c r="L370" s="3"/>
      <c r="M370" s="3"/>
      <c r="N370" s="2" t="s">
        <v>3226</v>
      </c>
      <c r="O370" s="2"/>
      <c r="P370" s="2"/>
      <c r="Q370" s="2"/>
      <c r="R370" s="2"/>
      <c r="S370" s="4" t="s">
        <v>3227</v>
      </c>
      <c r="T370" s="2"/>
      <c r="U370" s="2"/>
      <c r="V370" s="2"/>
      <c r="W370" s="2"/>
      <c r="X370" s="5"/>
      <c r="Y370" s="2"/>
      <c r="Z370" s="5"/>
      <c r="AA370" s="2"/>
      <c r="AB370" s="2"/>
      <c r="AC370" s="5"/>
      <c r="AD370" s="5" t="s">
        <v>3228</v>
      </c>
      <c r="AE370" s="3"/>
      <c r="AF370" s="6"/>
      <c r="AG370" s="7"/>
      <c r="AH370" s="2">
        <v>0</v>
      </c>
      <c r="AI370" s="7"/>
      <c r="AJ370" s="3"/>
      <c r="AK370" s="8"/>
      <c r="AL370" s="2" t="str">
        <f t="shared" si="5"/>
        <v/>
      </c>
      <c r="AM370" s="2"/>
      <c r="AN370" s="2" t="s">
        <v>3229</v>
      </c>
      <c r="AO370" s="2" t="s">
        <v>3230</v>
      </c>
      <c r="AP370" s="2"/>
    </row>
    <row r="371" spans="1:42" ht="25" x14ac:dyDescent="0.35">
      <c r="A371" s="2">
        <v>370</v>
      </c>
      <c r="B371" s="2" t="s">
        <v>3183</v>
      </c>
      <c r="C371" s="2">
        <v>0</v>
      </c>
      <c r="D371" s="3" t="s">
        <v>43</v>
      </c>
      <c r="E371" s="3" t="s">
        <v>44</v>
      </c>
      <c r="F371" s="3" t="s">
        <v>679</v>
      </c>
      <c r="G371" s="2" t="s">
        <v>46</v>
      </c>
      <c r="H371" s="2" t="s">
        <v>46</v>
      </c>
      <c r="I371" s="2" t="s">
        <v>3231</v>
      </c>
      <c r="J371" s="2" t="s">
        <v>3232</v>
      </c>
      <c r="K371" s="2"/>
      <c r="L371" s="3"/>
      <c r="M371" s="3"/>
      <c r="N371" s="2" t="s">
        <v>3233</v>
      </c>
      <c r="O371" s="2"/>
      <c r="P371" s="2"/>
      <c r="Q371" s="2"/>
      <c r="R371" s="2"/>
      <c r="S371" s="2"/>
      <c r="T371" s="2"/>
      <c r="U371" s="2"/>
      <c r="V371" s="2"/>
      <c r="W371" s="2"/>
      <c r="X371" s="5"/>
      <c r="Y371" s="2"/>
      <c r="Z371" s="5"/>
      <c r="AA371" s="2"/>
      <c r="AB371" s="2"/>
      <c r="AC371" s="5"/>
      <c r="AD371" s="5" t="s">
        <v>3193</v>
      </c>
      <c r="AE371" s="3"/>
      <c r="AF371" s="6"/>
      <c r="AG371" s="7"/>
      <c r="AH371" s="2">
        <v>0</v>
      </c>
      <c r="AI371" s="7"/>
      <c r="AJ371" s="3"/>
      <c r="AK371" s="8"/>
      <c r="AL371" s="2" t="str">
        <f t="shared" si="5"/>
        <v/>
      </c>
      <c r="AM371" s="2"/>
      <c r="AN371" s="2" t="s">
        <v>3234</v>
      </c>
      <c r="AO371" s="2" t="s">
        <v>3235</v>
      </c>
      <c r="AP371" s="2"/>
    </row>
    <row r="372" spans="1:42" ht="37.5" x14ac:dyDescent="0.35">
      <c r="A372" s="2">
        <v>371</v>
      </c>
      <c r="B372" s="2" t="s">
        <v>3183</v>
      </c>
      <c r="C372" s="2">
        <v>0</v>
      </c>
      <c r="D372" s="3" t="s">
        <v>43</v>
      </c>
      <c r="E372" s="3" t="s">
        <v>44</v>
      </c>
      <c r="F372" s="3" t="s">
        <v>679</v>
      </c>
      <c r="G372" s="2" t="s">
        <v>46</v>
      </c>
      <c r="H372" s="2" t="s">
        <v>47</v>
      </c>
      <c r="I372" s="2" t="s">
        <v>47</v>
      </c>
      <c r="J372" s="2" t="s">
        <v>3236</v>
      </c>
      <c r="K372" s="2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5"/>
      <c r="Y372" s="2"/>
      <c r="Z372" s="5"/>
      <c r="AA372" s="2"/>
      <c r="AB372" s="2"/>
      <c r="AC372" s="5"/>
      <c r="AD372" s="5" t="s">
        <v>3237</v>
      </c>
      <c r="AE372" s="3"/>
      <c r="AF372" s="6"/>
      <c r="AG372" s="7"/>
      <c r="AH372" s="2">
        <v>0</v>
      </c>
      <c r="AI372" s="7"/>
      <c r="AJ372" s="3"/>
      <c r="AK372" s="8"/>
      <c r="AL372" s="2" t="str">
        <f t="shared" si="5"/>
        <v/>
      </c>
      <c r="AM372" s="2"/>
      <c r="AN372" s="2" t="s">
        <v>3223</v>
      </c>
      <c r="AO372" s="2" t="s">
        <v>3238</v>
      </c>
      <c r="AP372" s="2"/>
    </row>
    <row r="373" spans="1:42" ht="25" x14ac:dyDescent="0.35">
      <c r="A373" s="2">
        <v>372</v>
      </c>
      <c r="B373" s="2" t="s">
        <v>3183</v>
      </c>
      <c r="C373" s="2">
        <v>0</v>
      </c>
      <c r="D373" s="3" t="s">
        <v>43</v>
      </c>
      <c r="E373" s="3" t="s">
        <v>44</v>
      </c>
      <c r="F373" s="3" t="s">
        <v>679</v>
      </c>
      <c r="G373" s="2" t="s">
        <v>46</v>
      </c>
      <c r="H373" s="2" t="s">
        <v>143</v>
      </c>
      <c r="I373" s="2" t="s">
        <v>3239</v>
      </c>
      <c r="J373" s="2" t="s">
        <v>2515</v>
      </c>
      <c r="K373" s="2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5"/>
      <c r="Y373" s="2"/>
      <c r="Z373" s="5"/>
      <c r="AA373" s="2"/>
      <c r="AB373" s="2"/>
      <c r="AC373" s="5"/>
      <c r="AD373" s="5" t="s">
        <v>3240</v>
      </c>
      <c r="AE373" s="3"/>
      <c r="AF373" s="6"/>
      <c r="AG373" s="7"/>
      <c r="AH373" s="2">
        <v>0</v>
      </c>
      <c r="AI373" s="7"/>
      <c r="AJ373" s="3"/>
      <c r="AK373" s="8"/>
      <c r="AL373" s="2" t="str">
        <f t="shared" si="5"/>
        <v/>
      </c>
      <c r="AM373" s="2"/>
      <c r="AN373" s="2" t="s">
        <v>3241</v>
      </c>
      <c r="AO373" s="2" t="s">
        <v>3242</v>
      </c>
      <c r="AP373" s="2"/>
    </row>
    <row r="374" spans="1:42" ht="25" x14ac:dyDescent="0.35">
      <c r="A374" s="2">
        <v>373</v>
      </c>
      <c r="B374" s="2" t="s">
        <v>3183</v>
      </c>
      <c r="C374" s="2">
        <v>0</v>
      </c>
      <c r="D374" s="3" t="s">
        <v>43</v>
      </c>
      <c r="E374" s="3" t="s">
        <v>44</v>
      </c>
      <c r="F374" s="3" t="s">
        <v>679</v>
      </c>
      <c r="G374" s="2" t="s">
        <v>46</v>
      </c>
      <c r="H374" s="2" t="s">
        <v>1735</v>
      </c>
      <c r="I374" s="2" t="s">
        <v>1735</v>
      </c>
      <c r="J374" s="2" t="s">
        <v>3243</v>
      </c>
      <c r="K374" s="2"/>
      <c r="L374" s="3"/>
      <c r="M374" s="3"/>
      <c r="N374" s="2" t="s">
        <v>3244</v>
      </c>
      <c r="O374" s="2"/>
      <c r="P374" s="2"/>
      <c r="Q374" s="2"/>
      <c r="R374" s="2"/>
      <c r="S374" s="2"/>
      <c r="T374" s="2"/>
      <c r="U374" s="2"/>
      <c r="V374" s="2"/>
      <c r="W374" s="2"/>
      <c r="X374" s="5"/>
      <c r="Y374" s="2"/>
      <c r="Z374" s="5"/>
      <c r="AA374" s="2"/>
      <c r="AB374" s="2"/>
      <c r="AC374" s="5"/>
      <c r="AD374" s="5" t="s">
        <v>3193</v>
      </c>
      <c r="AE374" s="3"/>
      <c r="AF374" s="6"/>
      <c r="AG374" s="7"/>
      <c r="AH374" s="2">
        <v>0</v>
      </c>
      <c r="AI374" s="7"/>
      <c r="AJ374" s="3"/>
      <c r="AK374" s="8"/>
      <c r="AL374" s="2" t="str">
        <f t="shared" si="5"/>
        <v/>
      </c>
      <c r="AM374" s="2"/>
      <c r="AN374" s="2" t="s">
        <v>3245</v>
      </c>
      <c r="AO374" s="2" t="s">
        <v>3246</v>
      </c>
      <c r="AP374" s="2"/>
    </row>
    <row r="375" spans="1:42" ht="37.5" x14ac:dyDescent="0.35">
      <c r="A375" s="2">
        <v>374</v>
      </c>
      <c r="B375" s="2" t="s">
        <v>3183</v>
      </c>
      <c r="C375" s="2">
        <v>0</v>
      </c>
      <c r="D375" s="3" t="s">
        <v>43</v>
      </c>
      <c r="E375" s="3" t="s">
        <v>44</v>
      </c>
      <c r="F375" s="3" t="s">
        <v>679</v>
      </c>
      <c r="G375" s="2" t="s">
        <v>126</v>
      </c>
      <c r="H375" s="2" t="s">
        <v>1506</v>
      </c>
      <c r="I375" s="2" t="s">
        <v>1506</v>
      </c>
      <c r="J375" s="2" t="s">
        <v>3247</v>
      </c>
      <c r="K375" s="2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5"/>
      <c r="Y375" s="2"/>
      <c r="Z375" s="5"/>
      <c r="AA375" s="2"/>
      <c r="AB375" s="2"/>
      <c r="AC375" s="5"/>
      <c r="AD375" s="5" t="s">
        <v>3248</v>
      </c>
      <c r="AE375" s="3"/>
      <c r="AF375" s="6"/>
      <c r="AG375" s="7"/>
      <c r="AH375" s="2">
        <v>0</v>
      </c>
      <c r="AI375" s="7"/>
      <c r="AJ375" s="3"/>
      <c r="AK375" s="8"/>
      <c r="AL375" s="2" t="str">
        <f t="shared" si="5"/>
        <v/>
      </c>
      <c r="AM375" s="2"/>
      <c r="AN375" s="2" t="s">
        <v>3249</v>
      </c>
      <c r="AO375" s="2" t="s">
        <v>3250</v>
      </c>
      <c r="AP375" s="2"/>
    </row>
    <row r="376" spans="1:42" ht="37.5" x14ac:dyDescent="0.35">
      <c r="A376" s="2">
        <v>375</v>
      </c>
      <c r="B376" s="2" t="s">
        <v>3183</v>
      </c>
      <c r="C376" s="2">
        <v>0</v>
      </c>
      <c r="D376" s="3" t="s">
        <v>43</v>
      </c>
      <c r="E376" s="3" t="s">
        <v>44</v>
      </c>
      <c r="F376" s="3" t="s">
        <v>679</v>
      </c>
      <c r="G376" s="2" t="s">
        <v>126</v>
      </c>
      <c r="H376" s="2" t="s">
        <v>126</v>
      </c>
      <c r="I376" s="2" t="s">
        <v>126</v>
      </c>
      <c r="J376" s="2" t="s">
        <v>3251</v>
      </c>
      <c r="K376" s="2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5"/>
      <c r="Y376" s="2"/>
      <c r="Z376" s="5"/>
      <c r="AA376" s="2"/>
      <c r="AB376" s="2"/>
      <c r="AC376" s="5"/>
      <c r="AD376" s="5" t="s">
        <v>3252</v>
      </c>
      <c r="AE376" s="3"/>
      <c r="AF376" s="6"/>
      <c r="AG376" s="7"/>
      <c r="AH376" s="2">
        <v>0</v>
      </c>
      <c r="AI376" s="7"/>
      <c r="AJ376" s="3"/>
      <c r="AK376" s="8"/>
      <c r="AL376" s="2" t="str">
        <f t="shared" si="5"/>
        <v/>
      </c>
      <c r="AM376" s="2"/>
      <c r="AN376" s="2" t="s">
        <v>3253</v>
      </c>
      <c r="AO376" s="2" t="s">
        <v>3254</v>
      </c>
      <c r="AP376" s="2"/>
    </row>
    <row r="377" spans="1:42" ht="37.5" x14ac:dyDescent="0.35">
      <c r="A377" s="2">
        <v>376</v>
      </c>
      <c r="B377" s="2" t="s">
        <v>3183</v>
      </c>
      <c r="C377" s="2">
        <v>0</v>
      </c>
      <c r="D377" s="3" t="s">
        <v>43</v>
      </c>
      <c r="E377" s="3" t="s">
        <v>44</v>
      </c>
      <c r="F377" s="3" t="s">
        <v>679</v>
      </c>
      <c r="G377" s="2" t="s">
        <v>126</v>
      </c>
      <c r="H377" s="2" t="s">
        <v>3255</v>
      </c>
      <c r="I377" s="2" t="s">
        <v>3255</v>
      </c>
      <c r="J377" s="2" t="s">
        <v>3256</v>
      </c>
      <c r="K377" s="2"/>
      <c r="L377" s="3"/>
      <c r="M377" s="3"/>
      <c r="N377" s="2" t="s">
        <v>3257</v>
      </c>
      <c r="O377" s="2"/>
      <c r="P377" s="2"/>
      <c r="Q377" s="2"/>
      <c r="R377" s="2"/>
      <c r="S377" s="2"/>
      <c r="T377" s="2"/>
      <c r="U377" s="2"/>
      <c r="V377" s="2"/>
      <c r="W377" s="2"/>
      <c r="X377" s="5"/>
      <c r="Y377" s="2"/>
      <c r="Z377" s="5"/>
      <c r="AA377" s="2"/>
      <c r="AB377" s="2"/>
      <c r="AC377" s="5"/>
      <c r="AD377" s="5" t="s">
        <v>3258</v>
      </c>
      <c r="AE377" s="3"/>
      <c r="AF377" s="6"/>
      <c r="AG377" s="7"/>
      <c r="AH377" s="2">
        <v>0</v>
      </c>
      <c r="AI377" s="7"/>
      <c r="AJ377" s="3"/>
      <c r="AK377" s="8"/>
      <c r="AL377" s="2" t="str">
        <f t="shared" si="5"/>
        <v/>
      </c>
      <c r="AM377" s="2"/>
      <c r="AN377" s="2" t="s">
        <v>3259</v>
      </c>
      <c r="AO377" s="2" t="s">
        <v>3260</v>
      </c>
      <c r="AP377" s="2"/>
    </row>
    <row r="378" spans="1:42" ht="50" x14ac:dyDescent="0.35">
      <c r="A378" s="2">
        <v>377</v>
      </c>
      <c r="B378" s="2" t="s">
        <v>3183</v>
      </c>
      <c r="C378" s="2">
        <v>0</v>
      </c>
      <c r="D378" s="3" t="s">
        <v>43</v>
      </c>
      <c r="E378" s="3" t="s">
        <v>44</v>
      </c>
      <c r="F378" s="3" t="s">
        <v>679</v>
      </c>
      <c r="G378" s="2" t="s">
        <v>126</v>
      </c>
      <c r="H378" s="2" t="s">
        <v>790</v>
      </c>
      <c r="I378" s="2" t="s">
        <v>3261</v>
      </c>
      <c r="J378" s="2" t="s">
        <v>3262</v>
      </c>
      <c r="K378" s="2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5"/>
      <c r="Y378" s="2"/>
      <c r="Z378" s="5"/>
      <c r="AA378" s="2"/>
      <c r="AB378" s="2"/>
      <c r="AC378" s="5"/>
      <c r="AD378" s="5" t="s">
        <v>3263</v>
      </c>
      <c r="AE378" s="3"/>
      <c r="AF378" s="6"/>
      <c r="AG378" s="7"/>
      <c r="AH378" s="2">
        <v>0</v>
      </c>
      <c r="AI378" s="7"/>
      <c r="AJ378" s="3"/>
      <c r="AK378" s="8"/>
      <c r="AL378" s="2" t="str">
        <f t="shared" si="5"/>
        <v/>
      </c>
      <c r="AM378" s="2"/>
      <c r="AN378" s="2" t="s">
        <v>3264</v>
      </c>
      <c r="AO378" s="2" t="s">
        <v>3265</v>
      </c>
      <c r="AP378" s="2"/>
    </row>
    <row r="379" spans="1:42" ht="37.5" x14ac:dyDescent="0.35">
      <c r="A379" s="2">
        <v>378</v>
      </c>
      <c r="B379" s="2" t="s">
        <v>3183</v>
      </c>
      <c r="C379" s="2">
        <v>0</v>
      </c>
      <c r="D379" s="3" t="s">
        <v>43</v>
      </c>
      <c r="E379" s="3" t="s">
        <v>44</v>
      </c>
      <c r="F379" s="3" t="s">
        <v>679</v>
      </c>
      <c r="G379" s="2" t="s">
        <v>126</v>
      </c>
      <c r="H379" s="2" t="s">
        <v>1394</v>
      </c>
      <c r="I379" s="2" t="s">
        <v>1394</v>
      </c>
      <c r="J379" s="2" t="s">
        <v>3266</v>
      </c>
      <c r="K379" s="2"/>
      <c r="L379" s="3"/>
      <c r="M379" s="3"/>
      <c r="N379" s="2" t="s">
        <v>3267</v>
      </c>
      <c r="O379" s="2"/>
      <c r="P379" s="2"/>
      <c r="Q379" s="2" t="s">
        <v>3268</v>
      </c>
      <c r="R379" s="4" t="s">
        <v>3269</v>
      </c>
      <c r="S379" s="4" t="s">
        <v>3270</v>
      </c>
      <c r="T379" s="2"/>
      <c r="U379" s="2"/>
      <c r="V379" s="2"/>
      <c r="W379" s="2"/>
      <c r="X379" s="5"/>
      <c r="Y379" s="2"/>
      <c r="Z379" s="5"/>
      <c r="AA379" s="2"/>
      <c r="AB379" s="2"/>
      <c r="AC379" s="5"/>
      <c r="AD379" s="5" t="s">
        <v>3271</v>
      </c>
      <c r="AE379" s="3"/>
      <c r="AF379" s="6"/>
      <c r="AG379" s="7"/>
      <c r="AH379" s="2">
        <v>0</v>
      </c>
      <c r="AI379" s="7"/>
      <c r="AJ379" s="3"/>
      <c r="AK379" s="8"/>
      <c r="AL379" s="2" t="str">
        <f t="shared" si="5"/>
        <v/>
      </c>
      <c r="AM379" s="2"/>
      <c r="AN379" s="2" t="s">
        <v>3272</v>
      </c>
      <c r="AO379" s="2" t="s">
        <v>3273</v>
      </c>
      <c r="AP379" s="2"/>
    </row>
    <row r="380" spans="1:42" ht="37.5" x14ac:dyDescent="0.35">
      <c r="A380" s="2">
        <v>379</v>
      </c>
      <c r="B380" s="2" t="s">
        <v>3183</v>
      </c>
      <c r="C380" s="2">
        <v>0</v>
      </c>
      <c r="D380" s="3" t="s">
        <v>43</v>
      </c>
      <c r="E380" s="3" t="s">
        <v>44</v>
      </c>
      <c r="F380" s="3" t="s">
        <v>679</v>
      </c>
      <c r="G380" s="2" t="s">
        <v>126</v>
      </c>
      <c r="H380" s="2" t="s">
        <v>2390</v>
      </c>
      <c r="I380" s="2" t="s">
        <v>3274</v>
      </c>
      <c r="J380" s="2" t="s">
        <v>3275</v>
      </c>
      <c r="K380" s="2"/>
      <c r="L380" s="3"/>
      <c r="M380" s="3"/>
      <c r="N380" s="2" t="s">
        <v>3276</v>
      </c>
      <c r="O380" s="2" t="s">
        <v>3277</v>
      </c>
      <c r="P380" s="2"/>
      <c r="Q380" s="2"/>
      <c r="R380" s="2"/>
      <c r="S380" s="2"/>
      <c r="T380" s="2"/>
      <c r="U380" s="2"/>
      <c r="V380" s="2"/>
      <c r="W380" s="2"/>
      <c r="X380" s="5"/>
      <c r="Y380" s="2"/>
      <c r="Z380" s="5"/>
      <c r="AA380" s="2"/>
      <c r="AB380" s="2"/>
      <c r="AC380" s="5"/>
      <c r="AD380" s="5" t="s">
        <v>3278</v>
      </c>
      <c r="AE380" s="3"/>
      <c r="AF380" s="6"/>
      <c r="AG380" s="7"/>
      <c r="AH380" s="2">
        <v>0</v>
      </c>
      <c r="AI380" s="7"/>
      <c r="AJ380" s="3"/>
      <c r="AK380" s="8"/>
      <c r="AL380" s="2" t="str">
        <f t="shared" si="5"/>
        <v>Abrir WhatsApp</v>
      </c>
      <c r="AM380" s="2"/>
      <c r="AN380" s="2" t="s">
        <v>3279</v>
      </c>
      <c r="AO380" s="2" t="s">
        <v>3280</v>
      </c>
      <c r="AP380" s="2"/>
    </row>
    <row r="381" spans="1:42" ht="37.5" x14ac:dyDescent="0.35">
      <c r="A381" s="2">
        <v>380</v>
      </c>
      <c r="B381" s="2" t="s">
        <v>3183</v>
      </c>
      <c r="C381" s="2">
        <v>0</v>
      </c>
      <c r="D381" s="3" t="s">
        <v>43</v>
      </c>
      <c r="E381" s="3" t="s">
        <v>44</v>
      </c>
      <c r="F381" s="3" t="s">
        <v>679</v>
      </c>
      <c r="G381" s="2" t="s">
        <v>126</v>
      </c>
      <c r="H381" s="2" t="s">
        <v>1506</v>
      </c>
      <c r="I381" s="2" t="s">
        <v>1506</v>
      </c>
      <c r="J381" s="2" t="s">
        <v>3281</v>
      </c>
      <c r="K381" s="2"/>
      <c r="L381" s="3"/>
      <c r="M381" s="3"/>
      <c r="N381" s="2" t="s">
        <v>3282</v>
      </c>
      <c r="O381" s="2"/>
      <c r="P381" s="2"/>
      <c r="Q381" s="2"/>
      <c r="R381" s="2"/>
      <c r="S381" s="2"/>
      <c r="T381" s="2"/>
      <c r="U381" s="2"/>
      <c r="V381" s="2"/>
      <c r="W381" s="2"/>
      <c r="X381" s="5"/>
      <c r="Y381" s="2"/>
      <c r="Z381" s="5"/>
      <c r="AA381" s="2"/>
      <c r="AB381" s="2"/>
      <c r="AC381" s="5"/>
      <c r="AD381" s="5" t="s">
        <v>3283</v>
      </c>
      <c r="AE381" s="3"/>
      <c r="AF381" s="6"/>
      <c r="AG381" s="7"/>
      <c r="AH381" s="2">
        <v>0</v>
      </c>
      <c r="AI381" s="7"/>
      <c r="AJ381" s="3"/>
      <c r="AK381" s="8"/>
      <c r="AL381" s="2" t="str">
        <f t="shared" si="5"/>
        <v/>
      </c>
      <c r="AM381" s="2"/>
      <c r="AN381" s="2" t="s">
        <v>3284</v>
      </c>
      <c r="AO381" s="2" t="s">
        <v>3285</v>
      </c>
      <c r="AP381" s="2"/>
    </row>
    <row r="382" spans="1:42" ht="75" x14ac:dyDescent="0.35">
      <c r="A382" s="2">
        <v>381</v>
      </c>
      <c r="B382" s="2" t="s">
        <v>3183</v>
      </c>
      <c r="C382" s="2">
        <v>0</v>
      </c>
      <c r="D382" s="3" t="s">
        <v>43</v>
      </c>
      <c r="E382" s="3" t="s">
        <v>44</v>
      </c>
      <c r="F382" s="3" t="s">
        <v>45</v>
      </c>
      <c r="G382" s="2" t="s">
        <v>126</v>
      </c>
      <c r="H382" s="2" t="s">
        <v>1552</v>
      </c>
      <c r="I382" s="2" t="s">
        <v>2654</v>
      </c>
      <c r="J382" s="2" t="s">
        <v>3286</v>
      </c>
      <c r="K382" s="2" t="s">
        <v>3287</v>
      </c>
      <c r="L382" s="3"/>
      <c r="M382" s="3"/>
      <c r="N382" s="2" t="s">
        <v>3288</v>
      </c>
      <c r="O382" s="2"/>
      <c r="P382" s="2"/>
      <c r="Q382" s="2"/>
      <c r="R382" s="2"/>
      <c r="S382" s="2"/>
      <c r="T382" s="2"/>
      <c r="U382" s="2"/>
      <c r="V382" s="2"/>
      <c r="W382" s="2"/>
      <c r="X382" s="5"/>
      <c r="Y382" s="2"/>
      <c r="Z382" s="5"/>
      <c r="AA382" s="2">
        <v>10</v>
      </c>
      <c r="AB382" s="2"/>
      <c r="AC382" s="5" t="s">
        <v>3289</v>
      </c>
      <c r="AD382" s="5" t="s">
        <v>3290</v>
      </c>
      <c r="AE382" s="3"/>
      <c r="AF382" s="6"/>
      <c r="AG382" s="7"/>
      <c r="AH382" s="2">
        <v>0</v>
      </c>
      <c r="AI382" s="7"/>
      <c r="AJ382" s="3"/>
      <c r="AK382" s="8"/>
      <c r="AL382" s="2" t="str">
        <f t="shared" si="5"/>
        <v/>
      </c>
      <c r="AM382" s="2"/>
      <c r="AN382" s="2" t="s">
        <v>3291</v>
      </c>
      <c r="AO382" s="2" t="s">
        <v>3292</v>
      </c>
      <c r="AP382" s="2"/>
    </row>
    <row r="383" spans="1:42" ht="50" x14ac:dyDescent="0.35">
      <c r="A383" s="2">
        <v>382</v>
      </c>
      <c r="B383" s="2" t="s">
        <v>3183</v>
      </c>
      <c r="C383" s="2">
        <v>0</v>
      </c>
      <c r="D383" s="3" t="s">
        <v>43</v>
      </c>
      <c r="E383" s="3" t="s">
        <v>44</v>
      </c>
      <c r="F383" s="3" t="s">
        <v>679</v>
      </c>
      <c r="G383" s="2" t="s">
        <v>126</v>
      </c>
      <c r="H383" s="2" t="s">
        <v>241</v>
      </c>
      <c r="I383" s="2" t="s">
        <v>241</v>
      </c>
      <c r="J383" s="2" t="s">
        <v>3293</v>
      </c>
      <c r="K383" s="2"/>
      <c r="L383" s="3"/>
      <c r="M383" s="3"/>
      <c r="N383" s="2" t="s">
        <v>3294</v>
      </c>
      <c r="O383" s="2"/>
      <c r="P383" s="2"/>
      <c r="Q383" s="2"/>
      <c r="R383" s="2"/>
      <c r="S383" s="2"/>
      <c r="T383" s="2"/>
      <c r="U383" s="2"/>
      <c r="V383" s="2"/>
      <c r="W383" s="2"/>
      <c r="X383" s="5"/>
      <c r="Y383" s="2"/>
      <c r="Z383" s="5"/>
      <c r="AA383" s="2"/>
      <c r="AB383" s="2"/>
      <c r="AC383" s="5"/>
      <c r="AD383" s="5" t="s">
        <v>3295</v>
      </c>
      <c r="AE383" s="3"/>
      <c r="AF383" s="6"/>
      <c r="AG383" s="7"/>
      <c r="AH383" s="2">
        <v>0</v>
      </c>
      <c r="AI383" s="7"/>
      <c r="AJ383" s="3"/>
      <c r="AK383" s="8"/>
      <c r="AL383" s="2" t="str">
        <f t="shared" si="5"/>
        <v/>
      </c>
      <c r="AM383" s="2"/>
      <c r="AN383" s="2" t="s">
        <v>3296</v>
      </c>
      <c r="AO383" s="2" t="s">
        <v>3297</v>
      </c>
      <c r="AP383" s="2"/>
    </row>
    <row r="384" spans="1:42" ht="37.5" x14ac:dyDescent="0.35">
      <c r="A384" s="2">
        <v>383</v>
      </c>
      <c r="B384" s="2" t="s">
        <v>3183</v>
      </c>
      <c r="C384" s="2">
        <v>0</v>
      </c>
      <c r="D384" s="3" t="s">
        <v>43</v>
      </c>
      <c r="E384" s="3" t="s">
        <v>44</v>
      </c>
      <c r="F384" s="3" t="s">
        <v>679</v>
      </c>
      <c r="G384" s="2" t="s">
        <v>74</v>
      </c>
      <c r="H384" s="2" t="s">
        <v>75</v>
      </c>
      <c r="I384" s="2" t="s">
        <v>3298</v>
      </c>
      <c r="J384" s="2" t="s">
        <v>3299</v>
      </c>
      <c r="K384" s="2"/>
      <c r="L384" s="3"/>
      <c r="M384" s="3"/>
      <c r="N384" s="2" t="s">
        <v>3300</v>
      </c>
      <c r="O384" s="2"/>
      <c r="P384" s="2"/>
      <c r="Q384" s="2" t="s">
        <v>3301</v>
      </c>
      <c r="R384" s="2"/>
      <c r="S384" s="2"/>
      <c r="T384" s="2"/>
      <c r="U384" s="2"/>
      <c r="V384" s="2"/>
      <c r="W384" s="2"/>
      <c r="X384" s="5"/>
      <c r="Y384" s="2"/>
      <c r="Z384" s="5"/>
      <c r="AA384" s="2"/>
      <c r="AB384" s="2"/>
      <c r="AC384" s="5"/>
      <c r="AD384" s="5" t="s">
        <v>3302</v>
      </c>
      <c r="AE384" s="3"/>
      <c r="AF384" s="6"/>
      <c r="AG384" s="7"/>
      <c r="AH384" s="2">
        <v>0</v>
      </c>
      <c r="AI384" s="7"/>
      <c r="AJ384" s="3"/>
      <c r="AK384" s="8"/>
      <c r="AL384" s="2" t="str">
        <f t="shared" si="5"/>
        <v/>
      </c>
      <c r="AM384" s="2"/>
      <c r="AN384" s="2" t="s">
        <v>3303</v>
      </c>
      <c r="AO384" s="2" t="s">
        <v>3304</v>
      </c>
      <c r="AP384" s="2"/>
    </row>
    <row r="385" spans="1:42" ht="75" x14ac:dyDescent="0.35">
      <c r="A385" s="2">
        <v>384</v>
      </c>
      <c r="B385" s="2" t="s">
        <v>3183</v>
      </c>
      <c r="C385" s="2">
        <v>0</v>
      </c>
      <c r="D385" s="3" t="s">
        <v>43</v>
      </c>
      <c r="E385" s="3" t="s">
        <v>44</v>
      </c>
      <c r="F385" s="3" t="s">
        <v>679</v>
      </c>
      <c r="G385" s="2" t="s">
        <v>74</v>
      </c>
      <c r="H385" s="2" t="s">
        <v>591</v>
      </c>
      <c r="I385" s="2" t="s">
        <v>3305</v>
      </c>
      <c r="J385" s="2" t="s">
        <v>3306</v>
      </c>
      <c r="K385" s="2"/>
      <c r="L385" s="3"/>
      <c r="M385" s="3"/>
      <c r="N385" s="2" t="s">
        <v>3307</v>
      </c>
      <c r="O385" s="2"/>
      <c r="P385" s="2"/>
      <c r="Q385" s="2"/>
      <c r="R385" s="2"/>
      <c r="S385" s="2"/>
      <c r="T385" s="2"/>
      <c r="U385" s="2"/>
      <c r="V385" s="2"/>
      <c r="W385" s="2"/>
      <c r="X385" s="5"/>
      <c r="Y385" s="2"/>
      <c r="Z385" s="5"/>
      <c r="AA385" s="2"/>
      <c r="AB385" s="2"/>
      <c r="AC385" s="5"/>
      <c r="AD385" s="5" t="s">
        <v>3308</v>
      </c>
      <c r="AE385" s="3"/>
      <c r="AF385" s="6"/>
      <c r="AG385" s="7"/>
      <c r="AH385" s="2">
        <v>0</v>
      </c>
      <c r="AI385" s="7"/>
      <c r="AJ385" s="3"/>
      <c r="AK385" s="8"/>
      <c r="AL385" s="2" t="str">
        <f t="shared" si="5"/>
        <v/>
      </c>
      <c r="AM385" s="2"/>
      <c r="AN385" s="2" t="s">
        <v>3309</v>
      </c>
      <c r="AO385" s="2" t="s">
        <v>3310</v>
      </c>
      <c r="AP385" s="2"/>
    </row>
    <row r="386" spans="1:42" ht="87.5" x14ac:dyDescent="0.35">
      <c r="A386" s="2">
        <v>385</v>
      </c>
      <c r="B386" s="2" t="s">
        <v>3183</v>
      </c>
      <c r="C386" s="2">
        <v>0</v>
      </c>
      <c r="D386" s="3" t="s">
        <v>43</v>
      </c>
      <c r="E386" s="3" t="s">
        <v>44</v>
      </c>
      <c r="F386" s="3" t="s">
        <v>679</v>
      </c>
      <c r="G386" s="2" t="s">
        <v>74</v>
      </c>
      <c r="H386" s="2" t="s">
        <v>75</v>
      </c>
      <c r="I386" s="2" t="s">
        <v>93</v>
      </c>
      <c r="J386" s="2" t="s">
        <v>3311</v>
      </c>
      <c r="K386" s="2"/>
      <c r="L386" s="3"/>
      <c r="M386" s="3"/>
      <c r="N386" s="2" t="s">
        <v>3312</v>
      </c>
      <c r="O386" s="2"/>
      <c r="P386" s="2"/>
      <c r="Q386" s="2" t="s">
        <v>3313</v>
      </c>
      <c r="R386" s="2"/>
      <c r="S386" s="2"/>
      <c r="T386" s="2"/>
      <c r="U386" s="2"/>
      <c r="V386" s="2"/>
      <c r="W386" s="2"/>
      <c r="X386" s="5"/>
      <c r="Y386" s="2"/>
      <c r="Z386" s="5"/>
      <c r="AA386" s="2"/>
      <c r="AB386" s="2"/>
      <c r="AC386" s="5"/>
      <c r="AD386" s="5" t="s">
        <v>3314</v>
      </c>
      <c r="AE386" s="3"/>
      <c r="AF386" s="6"/>
      <c r="AG386" s="7"/>
      <c r="AH386" s="2">
        <v>0</v>
      </c>
      <c r="AI386" s="7"/>
      <c r="AJ386" s="3"/>
      <c r="AK386" s="8"/>
      <c r="AL386" s="2" t="str">
        <f t="shared" ref="AL386:AL410" si="6">IF(IF(O386&lt;&gt;"",O386,IF(LEFT(TRIM(N386),1)="9",N386,""))="","",HYPERLINK("https://wa.me/351"&amp;LEFT(SUBSTITUTE(SUBSTITUTE(SUBSTITUTE(IF(O386&lt;&gt;"",O386,IF(LEFT(TRIM(N386),1)="9",N386,""))," ",""),"+351",""),"-",""),9),"Abrir WhatsApp"))</f>
        <v/>
      </c>
      <c r="AM386" s="2"/>
      <c r="AN386" s="2" t="s">
        <v>3315</v>
      </c>
      <c r="AO386" s="2" t="s">
        <v>3316</v>
      </c>
      <c r="AP386" s="2"/>
    </row>
    <row r="387" spans="1:42" ht="37.5" x14ac:dyDescent="0.35">
      <c r="A387" s="2">
        <v>386</v>
      </c>
      <c r="B387" s="2" t="s">
        <v>3183</v>
      </c>
      <c r="C387" s="2">
        <v>0</v>
      </c>
      <c r="D387" s="3" t="s">
        <v>43</v>
      </c>
      <c r="E387" s="3" t="s">
        <v>44</v>
      </c>
      <c r="F387" s="3" t="s">
        <v>679</v>
      </c>
      <c r="G387" s="2" t="s">
        <v>74</v>
      </c>
      <c r="H387" s="2" t="s">
        <v>591</v>
      </c>
      <c r="I387" s="2" t="s">
        <v>3317</v>
      </c>
      <c r="J387" s="2" t="s">
        <v>3318</v>
      </c>
      <c r="K387" s="2"/>
      <c r="L387" s="3"/>
      <c r="M387" s="3"/>
      <c r="N387" s="2" t="s">
        <v>3319</v>
      </c>
      <c r="O387" s="2"/>
      <c r="P387" s="2"/>
      <c r="Q387" s="2"/>
      <c r="R387" s="2"/>
      <c r="S387" s="2"/>
      <c r="T387" s="2"/>
      <c r="U387" s="2"/>
      <c r="V387" s="2"/>
      <c r="W387" s="2"/>
      <c r="X387" s="5"/>
      <c r="Y387" s="2"/>
      <c r="Z387" s="5"/>
      <c r="AA387" s="2"/>
      <c r="AB387" s="2"/>
      <c r="AC387" s="5"/>
      <c r="AD387" s="5" t="s">
        <v>3320</v>
      </c>
      <c r="AE387" s="3"/>
      <c r="AF387" s="6"/>
      <c r="AG387" s="7"/>
      <c r="AH387" s="2">
        <v>0</v>
      </c>
      <c r="AI387" s="7"/>
      <c r="AJ387" s="3"/>
      <c r="AK387" s="8"/>
      <c r="AL387" s="2" t="str">
        <f t="shared" si="6"/>
        <v/>
      </c>
      <c r="AM387" s="2"/>
      <c r="AN387" s="2" t="s">
        <v>3321</v>
      </c>
      <c r="AO387" s="2" t="s">
        <v>3322</v>
      </c>
      <c r="AP387" s="2"/>
    </row>
    <row r="388" spans="1:42" ht="37.5" x14ac:dyDescent="0.35">
      <c r="A388" s="2">
        <v>387</v>
      </c>
      <c r="B388" s="2" t="s">
        <v>3183</v>
      </c>
      <c r="C388" s="2">
        <v>0</v>
      </c>
      <c r="D388" s="3" t="s">
        <v>43</v>
      </c>
      <c r="E388" s="3" t="s">
        <v>44</v>
      </c>
      <c r="F388" s="3" t="s">
        <v>679</v>
      </c>
      <c r="G388" s="2" t="s">
        <v>107</v>
      </c>
      <c r="H388" s="2" t="s">
        <v>480</v>
      </c>
      <c r="I388" s="2" t="s">
        <v>480</v>
      </c>
      <c r="J388" s="2" t="s">
        <v>3323</v>
      </c>
      <c r="K388" s="2"/>
      <c r="L388" s="3"/>
      <c r="M388" s="3"/>
      <c r="N388" s="2" t="s">
        <v>3324</v>
      </c>
      <c r="O388" s="2"/>
      <c r="P388" s="2"/>
      <c r="Q388" s="2"/>
      <c r="R388" s="2"/>
      <c r="S388" s="2"/>
      <c r="T388" s="2"/>
      <c r="U388" s="2"/>
      <c r="V388" s="2"/>
      <c r="W388" s="2"/>
      <c r="X388" s="5"/>
      <c r="Y388" s="2"/>
      <c r="Z388" s="5"/>
      <c r="AA388" s="2"/>
      <c r="AB388" s="2"/>
      <c r="AC388" s="5"/>
      <c r="AD388" s="5" t="s">
        <v>3325</v>
      </c>
      <c r="AE388" s="3"/>
      <c r="AF388" s="6"/>
      <c r="AG388" s="7"/>
      <c r="AH388" s="2">
        <v>0</v>
      </c>
      <c r="AI388" s="7"/>
      <c r="AJ388" s="3"/>
      <c r="AK388" s="8"/>
      <c r="AL388" s="2" t="str">
        <f t="shared" si="6"/>
        <v/>
      </c>
      <c r="AM388" s="2" t="s">
        <v>3326</v>
      </c>
      <c r="AN388" s="2" t="s">
        <v>3327</v>
      </c>
      <c r="AO388" s="2" t="s">
        <v>3328</v>
      </c>
      <c r="AP388" s="2"/>
    </row>
    <row r="389" spans="1:42" ht="37.5" x14ac:dyDescent="0.35">
      <c r="A389" s="2">
        <v>388</v>
      </c>
      <c r="B389" s="2" t="s">
        <v>3183</v>
      </c>
      <c r="C389" s="2">
        <v>0</v>
      </c>
      <c r="D389" s="3" t="s">
        <v>43</v>
      </c>
      <c r="E389" s="3" t="s">
        <v>44</v>
      </c>
      <c r="F389" s="3" t="s">
        <v>679</v>
      </c>
      <c r="G389" s="2" t="s">
        <v>107</v>
      </c>
      <c r="H389" s="2" t="s">
        <v>609</v>
      </c>
      <c r="I389" s="2" t="s">
        <v>609</v>
      </c>
      <c r="J389" s="2" t="s">
        <v>3329</v>
      </c>
      <c r="K389" s="2"/>
      <c r="L389" s="3"/>
      <c r="M389" s="3"/>
      <c r="N389" s="2" t="s">
        <v>3330</v>
      </c>
      <c r="O389" s="2"/>
      <c r="P389" s="2"/>
      <c r="Q389" s="2"/>
      <c r="R389" s="2"/>
      <c r="S389" s="2"/>
      <c r="T389" s="2"/>
      <c r="U389" s="2"/>
      <c r="V389" s="2"/>
      <c r="W389" s="2"/>
      <c r="X389" s="5"/>
      <c r="Y389" s="2"/>
      <c r="Z389" s="5"/>
      <c r="AA389" s="2"/>
      <c r="AB389" s="2"/>
      <c r="AC389" s="5"/>
      <c r="AD389" s="5" t="s">
        <v>3331</v>
      </c>
      <c r="AE389" s="3"/>
      <c r="AF389" s="6"/>
      <c r="AG389" s="7"/>
      <c r="AH389" s="2">
        <v>0</v>
      </c>
      <c r="AI389" s="7"/>
      <c r="AJ389" s="3"/>
      <c r="AK389" s="8"/>
      <c r="AL389" s="2" t="str">
        <f t="shared" si="6"/>
        <v/>
      </c>
      <c r="AM389" s="2" t="s">
        <v>3326</v>
      </c>
      <c r="AN389" s="2" t="s">
        <v>3332</v>
      </c>
      <c r="AO389" s="2" t="s">
        <v>3333</v>
      </c>
      <c r="AP389" s="2"/>
    </row>
    <row r="390" spans="1:42" ht="37.5" x14ac:dyDescent="0.35">
      <c r="A390" s="2">
        <v>389</v>
      </c>
      <c r="B390" s="2" t="s">
        <v>3183</v>
      </c>
      <c r="C390" s="2">
        <v>0</v>
      </c>
      <c r="D390" s="3" t="s">
        <v>43</v>
      </c>
      <c r="E390" s="3" t="s">
        <v>44</v>
      </c>
      <c r="F390" s="3" t="s">
        <v>679</v>
      </c>
      <c r="G390" s="2" t="s">
        <v>207</v>
      </c>
      <c r="H390" s="2" t="s">
        <v>207</v>
      </c>
      <c r="I390" s="2" t="s">
        <v>207</v>
      </c>
      <c r="J390" s="2" t="s">
        <v>3334</v>
      </c>
      <c r="K390" s="2"/>
      <c r="L390" s="3"/>
      <c r="M390" s="3"/>
      <c r="N390" s="2" t="s">
        <v>3335</v>
      </c>
      <c r="O390" s="2" t="s">
        <v>3336</v>
      </c>
      <c r="P390" s="2"/>
      <c r="Q390" s="2"/>
      <c r="R390" s="2"/>
      <c r="S390" s="4" t="s">
        <v>3337</v>
      </c>
      <c r="T390" s="2"/>
      <c r="U390" s="2"/>
      <c r="V390" s="2"/>
      <c r="W390" s="2"/>
      <c r="X390" s="5" t="s">
        <v>213</v>
      </c>
      <c r="Y390" s="2"/>
      <c r="Z390" s="5"/>
      <c r="AA390" s="2"/>
      <c r="AB390" s="2"/>
      <c r="AC390" s="5"/>
      <c r="AD390" s="5" t="s">
        <v>3338</v>
      </c>
      <c r="AE390" s="3"/>
      <c r="AF390" s="6"/>
      <c r="AG390" s="7"/>
      <c r="AH390" s="2">
        <v>0</v>
      </c>
      <c r="AI390" s="7"/>
      <c r="AJ390" s="3"/>
      <c r="AK390" s="8"/>
      <c r="AL390" s="2" t="str">
        <f t="shared" si="6"/>
        <v>Abrir WhatsApp</v>
      </c>
      <c r="AM390" s="2"/>
      <c r="AN390" s="2" t="s">
        <v>3339</v>
      </c>
      <c r="AO390" s="2" t="s">
        <v>3340</v>
      </c>
      <c r="AP390" s="2"/>
    </row>
    <row r="391" spans="1:42" ht="37.5" x14ac:dyDescent="0.35">
      <c r="A391" s="2">
        <v>390</v>
      </c>
      <c r="B391" s="2" t="s">
        <v>3183</v>
      </c>
      <c r="C391" s="2">
        <v>0</v>
      </c>
      <c r="D391" s="3" t="s">
        <v>43</v>
      </c>
      <c r="E391" s="3" t="s">
        <v>44</v>
      </c>
      <c r="F391" s="3" t="s">
        <v>679</v>
      </c>
      <c r="G391" s="2" t="s">
        <v>207</v>
      </c>
      <c r="H391" s="2" t="s">
        <v>2829</v>
      </c>
      <c r="I391" s="2" t="s">
        <v>2829</v>
      </c>
      <c r="J391" s="2" t="s">
        <v>3341</v>
      </c>
      <c r="K391" s="2"/>
      <c r="L391" s="3"/>
      <c r="M391" s="3"/>
      <c r="N391" s="2" t="s">
        <v>3342</v>
      </c>
      <c r="O391" s="2" t="s">
        <v>3343</v>
      </c>
      <c r="P391" s="2"/>
      <c r="Q391" s="2" t="s">
        <v>3344</v>
      </c>
      <c r="R391" s="2"/>
      <c r="S391" s="2"/>
      <c r="T391" s="2"/>
      <c r="U391" s="2"/>
      <c r="V391" s="2"/>
      <c r="W391" s="2"/>
      <c r="X391" s="5" t="s">
        <v>213</v>
      </c>
      <c r="Y391" s="2"/>
      <c r="Z391" s="5"/>
      <c r="AA391" s="2"/>
      <c r="AB391" s="2"/>
      <c r="AC391" s="5"/>
      <c r="AD391" s="5" t="s">
        <v>3345</v>
      </c>
      <c r="AE391" s="3"/>
      <c r="AF391" s="6"/>
      <c r="AG391" s="7"/>
      <c r="AH391" s="2">
        <v>0</v>
      </c>
      <c r="AI391" s="7"/>
      <c r="AJ391" s="3"/>
      <c r="AK391" s="8"/>
      <c r="AL391" s="2" t="str">
        <f t="shared" si="6"/>
        <v>Abrir WhatsApp</v>
      </c>
      <c r="AM391" s="2"/>
      <c r="AN391" s="2" t="s">
        <v>3346</v>
      </c>
      <c r="AO391" s="2" t="s">
        <v>3347</v>
      </c>
      <c r="AP391" s="2"/>
    </row>
    <row r="392" spans="1:42" ht="37.5" x14ac:dyDescent="0.35">
      <c r="A392" s="2">
        <v>391</v>
      </c>
      <c r="B392" s="2" t="s">
        <v>3183</v>
      </c>
      <c r="C392" s="2">
        <v>0</v>
      </c>
      <c r="D392" s="3" t="s">
        <v>43</v>
      </c>
      <c r="E392" s="3" t="s">
        <v>44</v>
      </c>
      <c r="F392" s="3" t="s">
        <v>679</v>
      </c>
      <c r="G392" s="2" t="s">
        <v>207</v>
      </c>
      <c r="H392" s="2" t="s">
        <v>2829</v>
      </c>
      <c r="I392" s="2" t="s">
        <v>2829</v>
      </c>
      <c r="J392" s="2" t="s">
        <v>3348</v>
      </c>
      <c r="K392" s="2"/>
      <c r="L392" s="3"/>
      <c r="M392" s="3"/>
      <c r="N392" s="2" t="s">
        <v>3349</v>
      </c>
      <c r="O392" s="2"/>
      <c r="P392" s="2"/>
      <c r="Q392" s="2"/>
      <c r="R392" s="2"/>
      <c r="S392" s="2"/>
      <c r="T392" s="2"/>
      <c r="U392" s="2"/>
      <c r="V392" s="2"/>
      <c r="W392" s="2"/>
      <c r="X392" s="5" t="s">
        <v>213</v>
      </c>
      <c r="Y392" s="2"/>
      <c r="Z392" s="5"/>
      <c r="AA392" s="2"/>
      <c r="AB392" s="2"/>
      <c r="AC392" s="5"/>
      <c r="AD392" s="5" t="s">
        <v>3350</v>
      </c>
      <c r="AE392" s="3"/>
      <c r="AF392" s="6"/>
      <c r="AG392" s="7"/>
      <c r="AH392" s="2">
        <v>0</v>
      </c>
      <c r="AI392" s="7"/>
      <c r="AJ392" s="3"/>
      <c r="AK392" s="8"/>
      <c r="AL392" s="2" t="str">
        <f t="shared" si="6"/>
        <v/>
      </c>
      <c r="AM392" s="2"/>
      <c r="AN392" s="2" t="s">
        <v>3351</v>
      </c>
      <c r="AO392" s="2" t="s">
        <v>3352</v>
      </c>
      <c r="AP392" s="2"/>
    </row>
    <row r="393" spans="1:42" ht="37.5" x14ac:dyDescent="0.35">
      <c r="A393" s="2">
        <v>392</v>
      </c>
      <c r="B393" s="2" t="s">
        <v>3183</v>
      </c>
      <c r="C393" s="2">
        <v>0</v>
      </c>
      <c r="D393" s="3" t="s">
        <v>43</v>
      </c>
      <c r="E393" s="3" t="s">
        <v>44</v>
      </c>
      <c r="F393" s="3" t="s">
        <v>679</v>
      </c>
      <c r="G393" s="2" t="s">
        <v>207</v>
      </c>
      <c r="H393" s="2" t="s">
        <v>1308</v>
      </c>
      <c r="I393" s="2" t="s">
        <v>1308</v>
      </c>
      <c r="J393" s="2" t="s">
        <v>3353</v>
      </c>
      <c r="K393" s="2"/>
      <c r="L393" s="3"/>
      <c r="M393" s="3"/>
      <c r="N393" s="2" t="s">
        <v>3354</v>
      </c>
      <c r="O393" s="2"/>
      <c r="P393" s="2"/>
      <c r="Q393" s="2"/>
      <c r="R393" s="2"/>
      <c r="S393" s="2"/>
      <c r="T393" s="2"/>
      <c r="U393" s="2"/>
      <c r="V393" s="2"/>
      <c r="W393" s="2"/>
      <c r="X393" s="5"/>
      <c r="Y393" s="2"/>
      <c r="Z393" s="5"/>
      <c r="AA393" s="2">
        <v>23</v>
      </c>
      <c r="AB393" s="2"/>
      <c r="AC393" s="5"/>
      <c r="AD393" s="5" t="s">
        <v>3355</v>
      </c>
      <c r="AE393" s="3"/>
      <c r="AF393" s="6"/>
      <c r="AG393" s="7"/>
      <c r="AH393" s="2">
        <v>0</v>
      </c>
      <c r="AI393" s="7"/>
      <c r="AJ393" s="3"/>
      <c r="AK393" s="8"/>
      <c r="AL393" s="2" t="str">
        <f t="shared" si="6"/>
        <v/>
      </c>
      <c r="AM393" s="2"/>
      <c r="AN393" s="2" t="s">
        <v>3356</v>
      </c>
      <c r="AO393" s="2" t="s">
        <v>3357</v>
      </c>
      <c r="AP393" s="2"/>
    </row>
    <row r="394" spans="1:42" ht="75" x14ac:dyDescent="0.35">
      <c r="A394" s="2">
        <v>393</v>
      </c>
      <c r="B394" s="2" t="s">
        <v>3183</v>
      </c>
      <c r="C394" s="2">
        <v>0</v>
      </c>
      <c r="D394" s="3" t="s">
        <v>43</v>
      </c>
      <c r="E394" s="3" t="s">
        <v>44</v>
      </c>
      <c r="F394" s="3" t="s">
        <v>679</v>
      </c>
      <c r="G394" s="2" t="s">
        <v>393</v>
      </c>
      <c r="H394" s="2" t="s">
        <v>1436</v>
      </c>
      <c r="I394" s="2" t="s">
        <v>3358</v>
      </c>
      <c r="J394" s="2" t="s">
        <v>3359</v>
      </c>
      <c r="K394" s="2"/>
      <c r="L394" s="3"/>
      <c r="M394" s="3"/>
      <c r="N394" s="2" t="s">
        <v>3360</v>
      </c>
      <c r="O394" s="2"/>
      <c r="P394" s="2"/>
      <c r="Q394" s="2"/>
      <c r="R394" s="2"/>
      <c r="S394" s="2"/>
      <c r="T394" s="2"/>
      <c r="U394" s="2"/>
      <c r="V394" s="2"/>
      <c r="W394" s="2"/>
      <c r="X394" s="5"/>
      <c r="Y394" s="2"/>
      <c r="Z394" s="5"/>
      <c r="AA394" s="2"/>
      <c r="AB394" s="2"/>
      <c r="AC394" s="5"/>
      <c r="AD394" s="5" t="s">
        <v>3361</v>
      </c>
      <c r="AE394" s="3"/>
      <c r="AF394" s="6"/>
      <c r="AG394" s="7"/>
      <c r="AH394" s="2">
        <v>0</v>
      </c>
      <c r="AI394" s="7"/>
      <c r="AJ394" s="3"/>
      <c r="AK394" s="8"/>
      <c r="AL394" s="2" t="str">
        <f t="shared" si="6"/>
        <v/>
      </c>
      <c r="AM394" s="2"/>
      <c r="AN394" s="2" t="s">
        <v>3362</v>
      </c>
      <c r="AO394" s="2" t="s">
        <v>3363</v>
      </c>
      <c r="AP394" s="2"/>
    </row>
    <row r="395" spans="1:42" ht="62.5" x14ac:dyDescent="0.35">
      <c r="A395" s="2">
        <v>394</v>
      </c>
      <c r="B395" s="2" t="s">
        <v>3183</v>
      </c>
      <c r="C395" s="2">
        <v>0</v>
      </c>
      <c r="D395" s="3" t="s">
        <v>43</v>
      </c>
      <c r="E395" s="3" t="s">
        <v>44</v>
      </c>
      <c r="F395" s="3" t="s">
        <v>679</v>
      </c>
      <c r="G395" s="2" t="s">
        <v>393</v>
      </c>
      <c r="H395" s="2" t="s">
        <v>393</v>
      </c>
      <c r="I395" s="2" t="s">
        <v>3364</v>
      </c>
      <c r="J395" s="2" t="s">
        <v>3365</v>
      </c>
      <c r="K395" s="2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5"/>
      <c r="Y395" s="2"/>
      <c r="Z395" s="5"/>
      <c r="AA395" s="2"/>
      <c r="AB395" s="2"/>
      <c r="AC395" s="5"/>
      <c r="AD395" s="5" t="s">
        <v>3366</v>
      </c>
      <c r="AE395" s="3"/>
      <c r="AF395" s="6"/>
      <c r="AG395" s="7"/>
      <c r="AH395" s="2">
        <v>0</v>
      </c>
      <c r="AI395" s="7"/>
      <c r="AJ395" s="3"/>
      <c r="AK395" s="8"/>
      <c r="AL395" s="2" t="str">
        <f t="shared" si="6"/>
        <v/>
      </c>
      <c r="AM395" s="2"/>
      <c r="AN395" s="2" t="s">
        <v>3367</v>
      </c>
      <c r="AO395" s="2" t="s">
        <v>3368</v>
      </c>
      <c r="AP395" s="2"/>
    </row>
    <row r="396" spans="1:42" ht="62.5" x14ac:dyDescent="0.35">
      <c r="A396" s="2">
        <v>395</v>
      </c>
      <c r="B396" s="2" t="s">
        <v>3183</v>
      </c>
      <c r="C396" s="2">
        <v>0</v>
      </c>
      <c r="D396" s="3" t="s">
        <v>43</v>
      </c>
      <c r="E396" s="3" t="s">
        <v>44</v>
      </c>
      <c r="F396" s="3" t="s">
        <v>679</v>
      </c>
      <c r="G396" s="2" t="s">
        <v>393</v>
      </c>
      <c r="H396" s="2" t="s">
        <v>740</v>
      </c>
      <c r="I396" s="2" t="s">
        <v>740</v>
      </c>
      <c r="J396" s="2" t="s">
        <v>3369</v>
      </c>
      <c r="K396" s="2"/>
      <c r="L396" s="3"/>
      <c r="M396" s="3"/>
      <c r="N396" s="2" t="s">
        <v>3370</v>
      </c>
      <c r="O396" s="2"/>
      <c r="P396" s="2"/>
      <c r="Q396" s="2"/>
      <c r="R396" s="2"/>
      <c r="S396" s="2"/>
      <c r="T396" s="2"/>
      <c r="U396" s="2"/>
      <c r="V396" s="2"/>
      <c r="W396" s="2"/>
      <c r="X396" s="5"/>
      <c r="Y396" s="2"/>
      <c r="Z396" s="5"/>
      <c r="AA396" s="2"/>
      <c r="AB396" s="2"/>
      <c r="AC396" s="5"/>
      <c r="AD396" s="5" t="s">
        <v>3371</v>
      </c>
      <c r="AE396" s="3"/>
      <c r="AF396" s="6"/>
      <c r="AG396" s="7"/>
      <c r="AH396" s="2">
        <v>0</v>
      </c>
      <c r="AI396" s="7"/>
      <c r="AJ396" s="3"/>
      <c r="AK396" s="8"/>
      <c r="AL396" s="2" t="str">
        <f t="shared" si="6"/>
        <v/>
      </c>
      <c r="AM396" s="2"/>
      <c r="AN396" s="2" t="s">
        <v>3372</v>
      </c>
      <c r="AO396" s="2" t="s">
        <v>3373</v>
      </c>
      <c r="AP396" s="2"/>
    </row>
    <row r="397" spans="1:42" ht="50" x14ac:dyDescent="0.35">
      <c r="A397" s="2">
        <v>396</v>
      </c>
      <c r="B397" s="2" t="s">
        <v>3183</v>
      </c>
      <c r="C397" s="2">
        <v>0</v>
      </c>
      <c r="D397" s="3" t="s">
        <v>43</v>
      </c>
      <c r="E397" s="3" t="s">
        <v>44</v>
      </c>
      <c r="F397" s="3" t="s">
        <v>679</v>
      </c>
      <c r="G397" s="2" t="s">
        <v>393</v>
      </c>
      <c r="H397" s="2" t="s">
        <v>1436</v>
      </c>
      <c r="I397" s="2" t="s">
        <v>1436</v>
      </c>
      <c r="J397" s="2" t="s">
        <v>3374</v>
      </c>
      <c r="K397" s="2"/>
      <c r="L397" s="3"/>
      <c r="M397" s="3"/>
      <c r="N397" s="2" t="s">
        <v>3375</v>
      </c>
      <c r="O397" s="2"/>
      <c r="P397" s="2"/>
      <c r="Q397" s="2"/>
      <c r="R397" s="2"/>
      <c r="S397" s="2"/>
      <c r="T397" s="2"/>
      <c r="U397" s="2"/>
      <c r="V397" s="2"/>
      <c r="W397" s="2"/>
      <c r="X397" s="5"/>
      <c r="Y397" s="2"/>
      <c r="Z397" s="5"/>
      <c r="AA397" s="2"/>
      <c r="AB397" s="2"/>
      <c r="AC397" s="5"/>
      <c r="AD397" s="5" t="s">
        <v>3376</v>
      </c>
      <c r="AE397" s="3"/>
      <c r="AF397" s="6"/>
      <c r="AG397" s="7"/>
      <c r="AH397" s="2">
        <v>0</v>
      </c>
      <c r="AI397" s="7"/>
      <c r="AJ397" s="3"/>
      <c r="AK397" s="8"/>
      <c r="AL397" s="2" t="str">
        <f t="shared" si="6"/>
        <v/>
      </c>
      <c r="AM397" s="2"/>
      <c r="AN397" s="2" t="s">
        <v>3377</v>
      </c>
      <c r="AO397" s="2" t="s">
        <v>3378</v>
      </c>
      <c r="AP397" s="2"/>
    </row>
    <row r="398" spans="1:42" ht="50" x14ac:dyDescent="0.35">
      <c r="A398" s="2">
        <v>397</v>
      </c>
      <c r="B398" s="2" t="s">
        <v>3183</v>
      </c>
      <c r="C398" s="2">
        <v>0</v>
      </c>
      <c r="D398" s="3" t="s">
        <v>43</v>
      </c>
      <c r="E398" s="3" t="s">
        <v>44</v>
      </c>
      <c r="F398" s="3" t="s">
        <v>679</v>
      </c>
      <c r="G398" s="2" t="s">
        <v>393</v>
      </c>
      <c r="H398" s="2" t="s">
        <v>2882</v>
      </c>
      <c r="I398" s="2" t="s">
        <v>2882</v>
      </c>
      <c r="J398" s="2" t="s">
        <v>3379</v>
      </c>
      <c r="K398" s="2"/>
      <c r="L398" s="3"/>
      <c r="M398" s="3"/>
      <c r="N398" s="2" t="s">
        <v>3380</v>
      </c>
      <c r="O398" s="2"/>
      <c r="P398" s="2"/>
      <c r="Q398" s="2"/>
      <c r="R398" s="2"/>
      <c r="S398" s="2"/>
      <c r="T398" s="2"/>
      <c r="U398" s="2"/>
      <c r="V398" s="2"/>
      <c r="W398" s="2"/>
      <c r="X398" s="5"/>
      <c r="Y398" s="2"/>
      <c r="Z398" s="5"/>
      <c r="AA398" s="2"/>
      <c r="AB398" s="2"/>
      <c r="AC398" s="5"/>
      <c r="AD398" s="5" t="s">
        <v>3381</v>
      </c>
      <c r="AE398" s="3"/>
      <c r="AF398" s="6"/>
      <c r="AG398" s="7"/>
      <c r="AH398" s="2">
        <v>0</v>
      </c>
      <c r="AI398" s="7"/>
      <c r="AJ398" s="3"/>
      <c r="AK398" s="8"/>
      <c r="AL398" s="2" t="str">
        <f t="shared" si="6"/>
        <v/>
      </c>
      <c r="AM398" s="2"/>
      <c r="AN398" s="2" t="s">
        <v>3382</v>
      </c>
      <c r="AO398" s="2" t="s">
        <v>3383</v>
      </c>
      <c r="AP398" s="2"/>
    </row>
    <row r="399" spans="1:42" ht="50" x14ac:dyDescent="0.35">
      <c r="A399" s="2">
        <v>398</v>
      </c>
      <c r="B399" s="2" t="s">
        <v>3183</v>
      </c>
      <c r="C399" s="2">
        <v>0</v>
      </c>
      <c r="D399" s="3" t="s">
        <v>43</v>
      </c>
      <c r="E399" s="3" t="s">
        <v>44</v>
      </c>
      <c r="F399" s="3" t="s">
        <v>679</v>
      </c>
      <c r="G399" s="2" t="s">
        <v>393</v>
      </c>
      <c r="H399" s="2" t="s">
        <v>1436</v>
      </c>
      <c r="I399" s="2" t="s">
        <v>3087</v>
      </c>
      <c r="J399" s="2" t="s">
        <v>3384</v>
      </c>
      <c r="K399" s="2"/>
      <c r="L399" s="3"/>
      <c r="M399" s="3"/>
      <c r="N399" s="2" t="s">
        <v>3385</v>
      </c>
      <c r="O399" s="2"/>
      <c r="P399" s="2"/>
      <c r="Q399" s="2"/>
      <c r="R399" s="2"/>
      <c r="S399" s="2"/>
      <c r="T399" s="2"/>
      <c r="U399" s="2"/>
      <c r="V399" s="2"/>
      <c r="W399" s="2"/>
      <c r="X399" s="5"/>
      <c r="Y399" s="2"/>
      <c r="Z399" s="5"/>
      <c r="AA399" s="2"/>
      <c r="AB399" s="2"/>
      <c r="AC399" s="5"/>
      <c r="AD399" s="5" t="s">
        <v>3376</v>
      </c>
      <c r="AE399" s="3"/>
      <c r="AF399" s="6"/>
      <c r="AG399" s="7"/>
      <c r="AH399" s="2">
        <v>0</v>
      </c>
      <c r="AI399" s="7"/>
      <c r="AJ399" s="3"/>
      <c r="AK399" s="8"/>
      <c r="AL399" s="2" t="str">
        <f t="shared" si="6"/>
        <v/>
      </c>
      <c r="AM399" s="2"/>
      <c r="AN399" s="2" t="s">
        <v>3386</v>
      </c>
      <c r="AO399" s="2" t="s">
        <v>3387</v>
      </c>
      <c r="AP399" s="2"/>
    </row>
    <row r="400" spans="1:42" ht="37.5" x14ac:dyDescent="0.35">
      <c r="A400" s="2">
        <v>399</v>
      </c>
      <c r="B400" s="2" t="s">
        <v>3183</v>
      </c>
      <c r="C400" s="2">
        <v>0</v>
      </c>
      <c r="D400" s="3" t="s">
        <v>43</v>
      </c>
      <c r="E400" s="3" t="s">
        <v>44</v>
      </c>
      <c r="F400" s="3" t="s">
        <v>679</v>
      </c>
      <c r="G400" s="2" t="s">
        <v>393</v>
      </c>
      <c r="H400" s="2" t="s">
        <v>2119</v>
      </c>
      <c r="I400" s="2" t="s">
        <v>3388</v>
      </c>
      <c r="J400" s="2" t="s">
        <v>3389</v>
      </c>
      <c r="K400" s="2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5"/>
      <c r="Y400" s="2"/>
      <c r="Z400" s="5"/>
      <c r="AA400" s="2"/>
      <c r="AB400" s="2"/>
      <c r="AC400" s="5"/>
      <c r="AD400" s="5" t="s">
        <v>3390</v>
      </c>
      <c r="AE400" s="3"/>
      <c r="AF400" s="6"/>
      <c r="AG400" s="7"/>
      <c r="AH400" s="2">
        <v>0</v>
      </c>
      <c r="AI400" s="7"/>
      <c r="AJ400" s="3"/>
      <c r="AK400" s="8"/>
      <c r="AL400" s="2" t="str">
        <f t="shared" si="6"/>
        <v/>
      </c>
      <c r="AM400" s="2"/>
      <c r="AN400" s="2" t="s">
        <v>3391</v>
      </c>
      <c r="AO400" s="2" t="s">
        <v>3392</v>
      </c>
      <c r="AP400" s="2"/>
    </row>
    <row r="401" spans="1:42" ht="37.5" x14ac:dyDescent="0.35">
      <c r="A401" s="2">
        <v>400</v>
      </c>
      <c r="B401" s="2" t="s">
        <v>3183</v>
      </c>
      <c r="C401" s="2">
        <v>0</v>
      </c>
      <c r="D401" s="3" t="s">
        <v>43</v>
      </c>
      <c r="E401" s="3" t="s">
        <v>44</v>
      </c>
      <c r="F401" s="3" t="s">
        <v>679</v>
      </c>
      <c r="G401" s="2" t="s">
        <v>393</v>
      </c>
      <c r="H401" s="2" t="s">
        <v>2119</v>
      </c>
      <c r="I401" s="2" t="s">
        <v>2119</v>
      </c>
      <c r="J401" s="2" t="s">
        <v>3393</v>
      </c>
      <c r="K401" s="2"/>
      <c r="L401" s="3"/>
      <c r="M401" s="3"/>
      <c r="N401" s="2" t="s">
        <v>3394</v>
      </c>
      <c r="O401" s="2"/>
      <c r="P401" s="2"/>
      <c r="Q401" s="2" t="s">
        <v>3395</v>
      </c>
      <c r="R401" s="2"/>
      <c r="S401" s="2"/>
      <c r="T401" s="2"/>
      <c r="U401" s="2"/>
      <c r="V401" s="2"/>
      <c r="W401" s="2"/>
      <c r="X401" s="5"/>
      <c r="Y401" s="2"/>
      <c r="Z401" s="5"/>
      <c r="AA401" s="2">
        <v>2</v>
      </c>
      <c r="AB401" s="2"/>
      <c r="AC401" s="5"/>
      <c r="AD401" s="5" t="s">
        <v>3396</v>
      </c>
      <c r="AE401" s="3"/>
      <c r="AF401" s="6"/>
      <c r="AG401" s="7"/>
      <c r="AH401" s="2">
        <v>0</v>
      </c>
      <c r="AI401" s="7"/>
      <c r="AJ401" s="3"/>
      <c r="AK401" s="8"/>
      <c r="AL401" s="2" t="str">
        <f t="shared" si="6"/>
        <v/>
      </c>
      <c r="AM401" s="2"/>
      <c r="AN401" s="2" t="s">
        <v>3397</v>
      </c>
      <c r="AO401" s="2" t="s">
        <v>3398</v>
      </c>
      <c r="AP401" s="2"/>
    </row>
    <row r="402" spans="1:42" ht="175" x14ac:dyDescent="0.35">
      <c r="A402" s="2">
        <v>401</v>
      </c>
      <c r="B402" s="2" t="s">
        <v>3183</v>
      </c>
      <c r="C402" s="2">
        <v>0</v>
      </c>
      <c r="D402" s="3" t="s">
        <v>43</v>
      </c>
      <c r="E402" s="3" t="s">
        <v>44</v>
      </c>
      <c r="F402" s="3" t="s">
        <v>45</v>
      </c>
      <c r="G402" s="2" t="s">
        <v>393</v>
      </c>
      <c r="H402" s="2" t="s">
        <v>393</v>
      </c>
      <c r="I402" s="2" t="s">
        <v>393</v>
      </c>
      <c r="J402" s="2" t="s">
        <v>3399</v>
      </c>
      <c r="K402" s="2" t="s">
        <v>395</v>
      </c>
      <c r="L402" s="3"/>
      <c r="M402" s="3"/>
      <c r="N402" s="2" t="s">
        <v>3400</v>
      </c>
      <c r="O402" s="2" t="s">
        <v>3401</v>
      </c>
      <c r="P402" s="2"/>
      <c r="Q402" s="2" t="s">
        <v>3402</v>
      </c>
      <c r="R402" s="2"/>
      <c r="S402" s="2"/>
      <c r="T402" s="2"/>
      <c r="U402" s="2"/>
      <c r="V402" s="2"/>
      <c r="W402" s="2"/>
      <c r="X402" s="5"/>
      <c r="Y402" s="2"/>
      <c r="Z402" s="5"/>
      <c r="AA402" s="2"/>
      <c r="AB402" s="2"/>
      <c r="AC402" s="5" t="s">
        <v>3403</v>
      </c>
      <c r="AD402" s="5" t="s">
        <v>3404</v>
      </c>
      <c r="AE402" s="3"/>
      <c r="AF402" s="6"/>
      <c r="AG402" s="7"/>
      <c r="AH402" s="2">
        <v>0</v>
      </c>
      <c r="AI402" s="7"/>
      <c r="AJ402" s="3"/>
      <c r="AK402" s="8"/>
      <c r="AL402" s="2" t="str">
        <f t="shared" si="6"/>
        <v>Abrir WhatsApp</v>
      </c>
      <c r="AM402" s="2"/>
      <c r="AN402" s="2" t="s">
        <v>3405</v>
      </c>
      <c r="AO402" s="2" t="s">
        <v>3406</v>
      </c>
      <c r="AP402" s="2"/>
    </row>
    <row r="403" spans="1:42" ht="50" x14ac:dyDescent="0.35">
      <c r="A403" s="2">
        <v>402</v>
      </c>
      <c r="B403" s="2" t="s">
        <v>3183</v>
      </c>
      <c r="C403" s="2">
        <v>0</v>
      </c>
      <c r="D403" s="3" t="s">
        <v>43</v>
      </c>
      <c r="E403" s="3" t="s">
        <v>44</v>
      </c>
      <c r="F403" s="3" t="s">
        <v>679</v>
      </c>
      <c r="G403" s="2" t="s">
        <v>393</v>
      </c>
      <c r="H403" s="2" t="s">
        <v>1320</v>
      </c>
      <c r="I403" s="2" t="s">
        <v>1320</v>
      </c>
      <c r="J403" s="2" t="s">
        <v>3407</v>
      </c>
      <c r="K403" s="2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5"/>
      <c r="Y403" s="2"/>
      <c r="Z403" s="5"/>
      <c r="AA403" s="2"/>
      <c r="AB403" s="2"/>
      <c r="AC403" s="5"/>
      <c r="AD403" s="5" t="s">
        <v>3408</v>
      </c>
      <c r="AE403" s="3"/>
      <c r="AF403" s="6"/>
      <c r="AG403" s="7"/>
      <c r="AH403" s="2">
        <v>0</v>
      </c>
      <c r="AI403" s="7"/>
      <c r="AJ403" s="3"/>
      <c r="AK403" s="8"/>
      <c r="AL403" s="2" t="str">
        <f t="shared" si="6"/>
        <v/>
      </c>
      <c r="AM403" s="2"/>
      <c r="AN403" s="2" t="s">
        <v>3409</v>
      </c>
      <c r="AO403" s="2" t="s">
        <v>3410</v>
      </c>
      <c r="AP403" s="2"/>
    </row>
    <row r="404" spans="1:42" ht="37.5" x14ac:dyDescent="0.35">
      <c r="A404" s="2">
        <v>403</v>
      </c>
      <c r="B404" s="2" t="s">
        <v>3183</v>
      </c>
      <c r="C404" s="2">
        <v>0</v>
      </c>
      <c r="D404" s="3" t="s">
        <v>43</v>
      </c>
      <c r="E404" s="3" t="s">
        <v>44</v>
      </c>
      <c r="F404" s="3" t="s">
        <v>679</v>
      </c>
      <c r="G404" s="2" t="s">
        <v>991</v>
      </c>
      <c r="H404" s="2" t="s">
        <v>2914</v>
      </c>
      <c r="I404" s="2" t="s">
        <v>2914</v>
      </c>
      <c r="J404" s="2" t="s">
        <v>3411</v>
      </c>
      <c r="K404" s="2"/>
      <c r="L404" s="3"/>
      <c r="M404" s="3"/>
      <c r="N404" s="2" t="s">
        <v>3412</v>
      </c>
      <c r="O404" s="2"/>
      <c r="P404" s="2"/>
      <c r="Q404" s="2"/>
      <c r="R404" s="2"/>
      <c r="S404" s="2"/>
      <c r="T404" s="2"/>
      <c r="U404" s="2"/>
      <c r="V404" s="2"/>
      <c r="W404" s="2"/>
      <c r="X404" s="5"/>
      <c r="Y404" s="2"/>
      <c r="Z404" s="5"/>
      <c r="AA404" s="2"/>
      <c r="AB404" s="2"/>
      <c r="AC404" s="5"/>
      <c r="AD404" s="5" t="s">
        <v>3413</v>
      </c>
      <c r="AE404" s="3"/>
      <c r="AF404" s="6"/>
      <c r="AG404" s="7"/>
      <c r="AH404" s="2">
        <v>0</v>
      </c>
      <c r="AI404" s="7"/>
      <c r="AJ404" s="3"/>
      <c r="AK404" s="8"/>
      <c r="AL404" s="2" t="str">
        <f t="shared" si="6"/>
        <v/>
      </c>
      <c r="AM404" s="2"/>
      <c r="AN404" s="2" t="s">
        <v>3414</v>
      </c>
      <c r="AO404" s="2" t="s">
        <v>3415</v>
      </c>
      <c r="AP404" s="2"/>
    </row>
    <row r="405" spans="1:42" ht="37.5" x14ac:dyDescent="0.35">
      <c r="A405" s="2">
        <v>404</v>
      </c>
      <c r="B405" s="2" t="s">
        <v>3183</v>
      </c>
      <c r="C405" s="2">
        <v>0</v>
      </c>
      <c r="D405" s="3" t="s">
        <v>43</v>
      </c>
      <c r="E405" s="3" t="s">
        <v>44</v>
      </c>
      <c r="F405" s="3" t="s">
        <v>679</v>
      </c>
      <c r="G405" s="2" t="s">
        <v>991</v>
      </c>
      <c r="H405" s="2" t="s">
        <v>991</v>
      </c>
      <c r="I405" s="2" t="s">
        <v>991</v>
      </c>
      <c r="J405" s="2" t="s">
        <v>3416</v>
      </c>
      <c r="K405" s="2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5"/>
      <c r="Y405" s="2"/>
      <c r="Z405" s="5"/>
      <c r="AA405" s="2"/>
      <c r="AB405" s="2"/>
      <c r="AC405" s="5"/>
      <c r="AD405" s="5" t="s">
        <v>3417</v>
      </c>
      <c r="AE405" s="3"/>
      <c r="AF405" s="6"/>
      <c r="AG405" s="7"/>
      <c r="AH405" s="2">
        <v>0</v>
      </c>
      <c r="AI405" s="7"/>
      <c r="AJ405" s="3"/>
      <c r="AK405" s="8"/>
      <c r="AL405" s="2" t="str">
        <f t="shared" si="6"/>
        <v/>
      </c>
      <c r="AM405" s="2"/>
      <c r="AN405" s="2" t="s">
        <v>3418</v>
      </c>
      <c r="AO405" s="2" t="s">
        <v>3419</v>
      </c>
      <c r="AP405" s="2"/>
    </row>
    <row r="406" spans="1:42" ht="37.5" x14ac:dyDescent="0.35">
      <c r="A406" s="2">
        <v>405</v>
      </c>
      <c r="B406" s="2" t="s">
        <v>3183</v>
      </c>
      <c r="C406" s="2">
        <v>0</v>
      </c>
      <c r="D406" s="3" t="s">
        <v>43</v>
      </c>
      <c r="E406" s="3" t="s">
        <v>44</v>
      </c>
      <c r="F406" s="3" t="s">
        <v>679</v>
      </c>
      <c r="G406" s="2" t="s">
        <v>991</v>
      </c>
      <c r="H406" s="2" t="s">
        <v>1354</v>
      </c>
      <c r="I406" s="2" t="s">
        <v>1354</v>
      </c>
      <c r="J406" s="2" t="s">
        <v>3420</v>
      </c>
      <c r="K406" s="2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5"/>
      <c r="Y406" s="2"/>
      <c r="Z406" s="5"/>
      <c r="AA406" s="2"/>
      <c r="AB406" s="2"/>
      <c r="AC406" s="5"/>
      <c r="AD406" s="5" t="s">
        <v>3421</v>
      </c>
      <c r="AE406" s="3"/>
      <c r="AF406" s="6"/>
      <c r="AG406" s="7"/>
      <c r="AH406" s="2">
        <v>0</v>
      </c>
      <c r="AI406" s="7"/>
      <c r="AJ406" s="3"/>
      <c r="AK406" s="8"/>
      <c r="AL406" s="2" t="str">
        <f t="shared" si="6"/>
        <v/>
      </c>
      <c r="AM406" s="2"/>
      <c r="AN406" s="2" t="s">
        <v>3422</v>
      </c>
      <c r="AO406" s="2" t="s">
        <v>3423</v>
      </c>
      <c r="AP406" s="2"/>
    </row>
    <row r="407" spans="1:42" ht="25" x14ac:dyDescent="0.35">
      <c r="A407" s="2">
        <v>406</v>
      </c>
      <c r="B407" s="2" t="s">
        <v>3183</v>
      </c>
      <c r="C407" s="2">
        <v>0</v>
      </c>
      <c r="D407" s="3" t="s">
        <v>43</v>
      </c>
      <c r="E407" s="3" t="s">
        <v>44</v>
      </c>
      <c r="F407" s="3" t="s">
        <v>679</v>
      </c>
      <c r="G407" s="2" t="s">
        <v>991</v>
      </c>
      <c r="H407" s="2" t="s">
        <v>2914</v>
      </c>
      <c r="I407" s="2" t="s">
        <v>2914</v>
      </c>
      <c r="J407" s="2" t="s">
        <v>3424</v>
      </c>
      <c r="K407" s="2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5"/>
      <c r="Y407" s="2"/>
      <c r="Z407" s="5"/>
      <c r="AA407" s="2"/>
      <c r="AB407" s="2"/>
      <c r="AC407" s="5"/>
      <c r="AD407" s="5" t="s">
        <v>3425</v>
      </c>
      <c r="AE407" s="3"/>
      <c r="AF407" s="6"/>
      <c r="AG407" s="7"/>
      <c r="AH407" s="2">
        <v>0</v>
      </c>
      <c r="AI407" s="7"/>
      <c r="AJ407" s="3"/>
      <c r="AK407" s="8"/>
      <c r="AL407" s="2" t="str">
        <f t="shared" si="6"/>
        <v/>
      </c>
      <c r="AM407" s="2"/>
      <c r="AN407" s="2" t="s">
        <v>3426</v>
      </c>
      <c r="AO407" s="2" t="s">
        <v>3427</v>
      </c>
      <c r="AP407" s="2"/>
    </row>
    <row r="408" spans="1:42" ht="25" x14ac:dyDescent="0.35">
      <c r="A408" s="2">
        <v>407</v>
      </c>
      <c r="B408" s="2" t="s">
        <v>3183</v>
      </c>
      <c r="C408" s="2">
        <v>0</v>
      </c>
      <c r="D408" s="3" t="s">
        <v>43</v>
      </c>
      <c r="E408" s="3" t="s">
        <v>44</v>
      </c>
      <c r="F408" s="3" t="s">
        <v>679</v>
      </c>
      <c r="G408" s="2" t="s">
        <v>1159</v>
      </c>
      <c r="H408" s="2" t="s">
        <v>1720</v>
      </c>
      <c r="I408" s="2" t="s">
        <v>1720</v>
      </c>
      <c r="J408" s="2" t="s">
        <v>3428</v>
      </c>
      <c r="K408" s="2"/>
      <c r="L408" s="3"/>
      <c r="M408" s="3"/>
      <c r="N408" s="2" t="s">
        <v>3429</v>
      </c>
      <c r="O408" s="2"/>
      <c r="P408" s="2"/>
      <c r="Q408" s="2"/>
      <c r="R408" s="2"/>
      <c r="S408" s="2"/>
      <c r="T408" s="2"/>
      <c r="U408" s="2">
        <v>4</v>
      </c>
      <c r="V408" s="2">
        <v>2</v>
      </c>
      <c r="W408" s="2"/>
      <c r="X408" s="5"/>
      <c r="Y408" s="2"/>
      <c r="Z408" s="5"/>
      <c r="AA408" s="2"/>
      <c r="AB408" s="2"/>
      <c r="AC408" s="5"/>
      <c r="AD408" s="5" t="s">
        <v>3430</v>
      </c>
      <c r="AE408" s="3"/>
      <c r="AF408" s="6"/>
      <c r="AG408" s="7"/>
      <c r="AH408" s="2">
        <v>0</v>
      </c>
      <c r="AI408" s="7"/>
      <c r="AJ408" s="3"/>
      <c r="AK408" s="8"/>
      <c r="AL408" s="2" t="str">
        <f t="shared" si="6"/>
        <v/>
      </c>
      <c r="AM408" s="2"/>
      <c r="AN408" s="2" t="s">
        <v>3431</v>
      </c>
      <c r="AO408" s="2" t="s">
        <v>3432</v>
      </c>
      <c r="AP408" s="2"/>
    </row>
    <row r="409" spans="1:42" ht="25" x14ac:dyDescent="0.35">
      <c r="A409" s="2">
        <v>408</v>
      </c>
      <c r="B409" s="2" t="s">
        <v>3183</v>
      </c>
      <c r="C409" s="2">
        <v>0</v>
      </c>
      <c r="D409" s="3" t="s">
        <v>43</v>
      </c>
      <c r="E409" s="3" t="s">
        <v>44</v>
      </c>
      <c r="F409" s="3" t="s">
        <v>679</v>
      </c>
      <c r="G409" s="2" t="s">
        <v>1159</v>
      </c>
      <c r="H409" s="2" t="s">
        <v>2129</v>
      </c>
      <c r="I409" s="2" t="s">
        <v>3433</v>
      </c>
      <c r="J409" s="2" t="s">
        <v>3434</v>
      </c>
      <c r="K409" s="2"/>
      <c r="L409" s="3"/>
      <c r="M409" s="3"/>
      <c r="N409" s="2" t="s">
        <v>3435</v>
      </c>
      <c r="O409" s="2"/>
      <c r="P409" s="2"/>
      <c r="Q409" s="2"/>
      <c r="R409" s="4" t="s">
        <v>3436</v>
      </c>
      <c r="S409" s="4" t="s">
        <v>1252</v>
      </c>
      <c r="T409" s="2"/>
      <c r="U409" s="2"/>
      <c r="V409" s="2"/>
      <c r="W409" s="2"/>
      <c r="X409" s="5"/>
      <c r="Y409" s="2"/>
      <c r="Z409" s="5"/>
      <c r="AA409" s="2"/>
      <c r="AB409" s="2"/>
      <c r="AC409" s="5"/>
      <c r="AD409" s="5" t="s">
        <v>3437</v>
      </c>
      <c r="AE409" s="3"/>
      <c r="AF409" s="6"/>
      <c r="AG409" s="7"/>
      <c r="AH409" s="2">
        <v>0</v>
      </c>
      <c r="AI409" s="7"/>
      <c r="AJ409" s="3"/>
      <c r="AK409" s="8"/>
      <c r="AL409" s="2" t="str">
        <f t="shared" si="6"/>
        <v/>
      </c>
      <c r="AM409" s="2"/>
      <c r="AN409" s="2" t="s">
        <v>3438</v>
      </c>
      <c r="AO409" s="2" t="s">
        <v>3439</v>
      </c>
      <c r="AP409" s="2"/>
    </row>
    <row r="410" spans="1:42" ht="37.5" x14ac:dyDescent="0.35">
      <c r="A410" s="2">
        <v>409</v>
      </c>
      <c r="B410" s="2" t="s">
        <v>3183</v>
      </c>
      <c r="C410" s="2">
        <v>0</v>
      </c>
      <c r="D410" s="3" t="s">
        <v>43</v>
      </c>
      <c r="E410" s="3" t="s">
        <v>44</v>
      </c>
      <c r="F410" s="3" t="s">
        <v>679</v>
      </c>
      <c r="G410" s="2" t="s">
        <v>1159</v>
      </c>
      <c r="H410" s="2" t="s">
        <v>1537</v>
      </c>
      <c r="I410" s="2" t="s">
        <v>1537</v>
      </c>
      <c r="J410" s="2" t="s">
        <v>3440</v>
      </c>
      <c r="K410" s="2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5"/>
      <c r="Y410" s="2"/>
      <c r="Z410" s="5"/>
      <c r="AA410" s="2"/>
      <c r="AB410" s="2"/>
      <c r="AC410" s="5"/>
      <c r="AD410" s="5" t="s">
        <v>3441</v>
      </c>
      <c r="AE410" s="3"/>
      <c r="AF410" s="6"/>
      <c r="AG410" s="7"/>
      <c r="AH410" s="2">
        <v>0</v>
      </c>
      <c r="AI410" s="7"/>
      <c r="AJ410" s="3"/>
      <c r="AK410" s="8"/>
      <c r="AL410" s="2" t="str">
        <f t="shared" si="6"/>
        <v/>
      </c>
      <c r="AM410" s="2"/>
      <c r="AN410" s="2" t="s">
        <v>3442</v>
      </c>
      <c r="AO410" s="2" t="s">
        <v>3443</v>
      </c>
      <c r="AP410" s="2"/>
    </row>
  </sheetData>
  <autoFilter ref="A1:AP410" xr:uid="{00000000-0009-0000-0000-000000000000}"/>
  <conditionalFormatting sqref="A2:AP1000">
    <cfRule type="expression" dxfId="3" priority="2">
      <formula>$D2="Cliente"</formula>
    </cfRule>
    <cfRule type="expression" dxfId="2" priority="3">
      <formula>$D2="Perdido"</formula>
    </cfRule>
  </conditionalFormatting>
  <conditionalFormatting sqref="B2:B1000">
    <cfRule type="cellIs" dxfId="1" priority="1" operator="equal">
      <formula>"A"</formula>
    </cfRule>
  </conditionalFormatting>
  <conditionalFormatting sqref="D2:D1000">
    <cfRule type="expression" dxfId="0" priority="4">
      <formula>$D2="Respondeu"</formula>
    </cfRule>
  </conditionalFormatting>
  <dataValidations count="5">
    <dataValidation type="list" allowBlank="1" sqref="D2:D1000" xr:uid="{00000000-0002-0000-0000-000000000000}">
      <formula1>"Novo,Em sequência,Respondeu,Visita marcada,Demo feita,Em teste,Cliente,Perdido,Arrefecer"</formula1>
    </dataValidation>
    <dataValidation type="list" allowBlank="1" sqref="B2:B1000" xr:uid="{00000000-0002-0000-0000-000001000000}">
      <formula1>"A,B,C"</formula1>
    </dataValidation>
    <dataValidation type="list" allowBlank="1" sqref="E2:E1000" xr:uid="{00000000-0002-0000-0000-000002000000}">
      <formula1>"Pedro,Francisco"</formula1>
    </dataValidation>
    <dataValidation type="list" allowBlank="1" sqref="F2:F1000" xr:uid="{00000000-0002-0000-0000-000003000000}">
      <formula1>"telefone,grupo,teoricas"</formula1>
    </dataValidation>
    <dataValidation type="list" allowBlank="1" sqref="Y2:Y1000" xr:uid="{00000000-0002-0000-0000-000004000000}">
      <formula1>"Sim,Não,?"</formula1>
    </dataValidation>
  </dataValidations>
  <hyperlinks>
    <hyperlink ref="S2" r:id="rId1" xr:uid="{00000000-0004-0000-0000-000000000000}"/>
    <hyperlink ref="R3" r:id="rId2" xr:uid="{00000000-0004-0000-0000-000001000000}"/>
    <hyperlink ref="S3" r:id="rId3" xr:uid="{00000000-0004-0000-0000-000002000000}"/>
    <hyperlink ref="R4" r:id="rId4" xr:uid="{00000000-0004-0000-0000-000003000000}"/>
    <hyperlink ref="S4" r:id="rId5" xr:uid="{00000000-0004-0000-0000-000004000000}"/>
    <hyperlink ref="T4" r:id="rId6" xr:uid="{00000000-0004-0000-0000-000005000000}"/>
    <hyperlink ref="R5" r:id="rId7" xr:uid="{00000000-0004-0000-0000-000006000000}"/>
    <hyperlink ref="S5" r:id="rId8" xr:uid="{00000000-0004-0000-0000-000007000000}"/>
    <hyperlink ref="T5" r:id="rId9" xr:uid="{00000000-0004-0000-0000-000008000000}"/>
    <hyperlink ref="R6" r:id="rId10" xr:uid="{00000000-0004-0000-0000-000009000000}"/>
    <hyperlink ref="S6" r:id="rId11" xr:uid="{00000000-0004-0000-0000-00000A000000}"/>
    <hyperlink ref="R7" r:id="rId12" xr:uid="{00000000-0004-0000-0000-00000B000000}"/>
    <hyperlink ref="S7" r:id="rId13" xr:uid="{00000000-0004-0000-0000-00000C000000}"/>
    <hyperlink ref="T7" r:id="rId14" xr:uid="{00000000-0004-0000-0000-00000D000000}"/>
    <hyperlink ref="R8" r:id="rId15" xr:uid="{00000000-0004-0000-0000-00000E000000}"/>
    <hyperlink ref="S8" r:id="rId16" xr:uid="{00000000-0004-0000-0000-00000F000000}"/>
    <hyperlink ref="T8" r:id="rId17" xr:uid="{00000000-0004-0000-0000-000010000000}"/>
    <hyperlink ref="R9" r:id="rId18" xr:uid="{00000000-0004-0000-0000-000011000000}"/>
    <hyperlink ref="S9" r:id="rId19" xr:uid="{00000000-0004-0000-0000-000012000000}"/>
    <hyperlink ref="R10" r:id="rId20" xr:uid="{00000000-0004-0000-0000-000013000000}"/>
    <hyperlink ref="S10" r:id="rId21" xr:uid="{00000000-0004-0000-0000-000014000000}"/>
    <hyperlink ref="T10" r:id="rId22" xr:uid="{00000000-0004-0000-0000-000015000000}"/>
    <hyperlink ref="S11" r:id="rId23" xr:uid="{00000000-0004-0000-0000-000016000000}"/>
    <hyperlink ref="R12" r:id="rId24" xr:uid="{00000000-0004-0000-0000-000017000000}"/>
    <hyperlink ref="S12" r:id="rId25" xr:uid="{00000000-0004-0000-0000-000018000000}"/>
    <hyperlink ref="T12" r:id="rId26" xr:uid="{00000000-0004-0000-0000-000019000000}"/>
    <hyperlink ref="S13" r:id="rId27" xr:uid="{00000000-0004-0000-0000-00001A000000}"/>
    <hyperlink ref="R16" r:id="rId28" xr:uid="{00000000-0004-0000-0000-00001B000000}"/>
    <hyperlink ref="S16" r:id="rId29" xr:uid="{00000000-0004-0000-0000-00001C000000}"/>
    <hyperlink ref="T16" r:id="rId30" xr:uid="{00000000-0004-0000-0000-00001D000000}"/>
    <hyperlink ref="R17" r:id="rId31" xr:uid="{00000000-0004-0000-0000-00001E000000}"/>
    <hyperlink ref="S17" r:id="rId32" xr:uid="{00000000-0004-0000-0000-00001F000000}"/>
    <hyperlink ref="R18" r:id="rId33" xr:uid="{00000000-0004-0000-0000-000020000000}"/>
    <hyperlink ref="S18" r:id="rId34" xr:uid="{00000000-0004-0000-0000-000021000000}"/>
    <hyperlink ref="R19" r:id="rId35" xr:uid="{00000000-0004-0000-0000-000022000000}"/>
    <hyperlink ref="S19" r:id="rId36" xr:uid="{00000000-0004-0000-0000-000023000000}"/>
    <hyperlink ref="S20" r:id="rId37" xr:uid="{00000000-0004-0000-0000-000024000000}"/>
    <hyperlink ref="R21" r:id="rId38" xr:uid="{00000000-0004-0000-0000-000025000000}"/>
    <hyperlink ref="S21" r:id="rId39" xr:uid="{00000000-0004-0000-0000-000026000000}"/>
    <hyperlink ref="R23" r:id="rId40" xr:uid="{00000000-0004-0000-0000-000027000000}"/>
    <hyperlink ref="S23" r:id="rId41" xr:uid="{00000000-0004-0000-0000-000028000000}"/>
    <hyperlink ref="T23" r:id="rId42" xr:uid="{00000000-0004-0000-0000-000029000000}"/>
    <hyperlink ref="R24" r:id="rId43" xr:uid="{00000000-0004-0000-0000-00002A000000}"/>
    <hyperlink ref="S24" r:id="rId44" xr:uid="{00000000-0004-0000-0000-00002B000000}"/>
    <hyperlink ref="T24" r:id="rId45" xr:uid="{00000000-0004-0000-0000-00002C000000}"/>
    <hyperlink ref="R25" r:id="rId46" xr:uid="{00000000-0004-0000-0000-00002D000000}"/>
    <hyperlink ref="S25" r:id="rId47" xr:uid="{00000000-0004-0000-0000-00002E000000}"/>
    <hyperlink ref="R27" r:id="rId48" xr:uid="{00000000-0004-0000-0000-00002F000000}"/>
    <hyperlink ref="S27" r:id="rId49" xr:uid="{00000000-0004-0000-0000-000030000000}"/>
    <hyperlink ref="R28" r:id="rId50" xr:uid="{00000000-0004-0000-0000-000031000000}"/>
    <hyperlink ref="S28" r:id="rId51" xr:uid="{00000000-0004-0000-0000-000032000000}"/>
    <hyperlink ref="R29" r:id="rId52" xr:uid="{00000000-0004-0000-0000-000033000000}"/>
    <hyperlink ref="S29" r:id="rId53" xr:uid="{00000000-0004-0000-0000-000034000000}"/>
    <hyperlink ref="T29" r:id="rId54" xr:uid="{00000000-0004-0000-0000-000035000000}"/>
    <hyperlink ref="R30" r:id="rId55" xr:uid="{00000000-0004-0000-0000-000036000000}"/>
    <hyperlink ref="S30" r:id="rId56" xr:uid="{00000000-0004-0000-0000-000037000000}"/>
    <hyperlink ref="R31" r:id="rId57" xr:uid="{00000000-0004-0000-0000-000038000000}"/>
    <hyperlink ref="S31" r:id="rId58" xr:uid="{00000000-0004-0000-0000-000039000000}"/>
    <hyperlink ref="R32" r:id="rId59" xr:uid="{00000000-0004-0000-0000-00003A000000}"/>
    <hyperlink ref="S32" r:id="rId60" xr:uid="{00000000-0004-0000-0000-00003B000000}"/>
    <hyperlink ref="S33" r:id="rId61" xr:uid="{00000000-0004-0000-0000-00003C000000}"/>
    <hyperlink ref="S34" r:id="rId62" xr:uid="{00000000-0004-0000-0000-00003D000000}"/>
    <hyperlink ref="R35" r:id="rId63" xr:uid="{00000000-0004-0000-0000-00003E000000}"/>
    <hyperlink ref="R37" r:id="rId64" xr:uid="{00000000-0004-0000-0000-00003F000000}"/>
    <hyperlink ref="S38" r:id="rId65" xr:uid="{00000000-0004-0000-0000-000040000000}"/>
    <hyperlink ref="T38" r:id="rId66" xr:uid="{00000000-0004-0000-0000-000041000000}"/>
    <hyperlink ref="R40" r:id="rId67" xr:uid="{00000000-0004-0000-0000-000042000000}"/>
    <hyperlink ref="S40" r:id="rId68" xr:uid="{00000000-0004-0000-0000-000043000000}"/>
    <hyperlink ref="T40" r:id="rId69" xr:uid="{00000000-0004-0000-0000-000044000000}"/>
    <hyperlink ref="S41" r:id="rId70" xr:uid="{00000000-0004-0000-0000-000045000000}"/>
    <hyperlink ref="R42" r:id="rId71" xr:uid="{00000000-0004-0000-0000-000046000000}"/>
    <hyperlink ref="S42" r:id="rId72" xr:uid="{00000000-0004-0000-0000-000047000000}"/>
    <hyperlink ref="R43" r:id="rId73" xr:uid="{00000000-0004-0000-0000-000048000000}"/>
    <hyperlink ref="S45" r:id="rId74" xr:uid="{00000000-0004-0000-0000-000049000000}"/>
    <hyperlink ref="R46" r:id="rId75" xr:uid="{00000000-0004-0000-0000-00004A000000}"/>
    <hyperlink ref="S46" r:id="rId76" xr:uid="{00000000-0004-0000-0000-00004B000000}"/>
    <hyperlink ref="T46" r:id="rId77" xr:uid="{00000000-0004-0000-0000-00004C000000}"/>
    <hyperlink ref="R47" r:id="rId78" xr:uid="{00000000-0004-0000-0000-00004D000000}"/>
    <hyperlink ref="S47" r:id="rId79" xr:uid="{00000000-0004-0000-0000-00004E000000}"/>
    <hyperlink ref="R48" r:id="rId80" xr:uid="{00000000-0004-0000-0000-00004F000000}"/>
    <hyperlink ref="S48" r:id="rId81" xr:uid="{00000000-0004-0000-0000-000050000000}"/>
    <hyperlink ref="R49" r:id="rId82" xr:uid="{00000000-0004-0000-0000-000051000000}"/>
    <hyperlink ref="S49" r:id="rId83" xr:uid="{00000000-0004-0000-0000-000052000000}"/>
    <hyperlink ref="R50" r:id="rId84" xr:uid="{00000000-0004-0000-0000-000053000000}"/>
    <hyperlink ref="S50" r:id="rId85" xr:uid="{00000000-0004-0000-0000-000054000000}"/>
    <hyperlink ref="S51" r:id="rId86" xr:uid="{00000000-0004-0000-0000-000055000000}"/>
    <hyperlink ref="S52" r:id="rId87" xr:uid="{00000000-0004-0000-0000-000056000000}"/>
    <hyperlink ref="R53" r:id="rId88" xr:uid="{00000000-0004-0000-0000-000057000000}"/>
    <hyperlink ref="S53" r:id="rId89" xr:uid="{00000000-0004-0000-0000-000058000000}"/>
    <hyperlink ref="T53" r:id="rId90" xr:uid="{00000000-0004-0000-0000-000059000000}"/>
    <hyperlink ref="R54" r:id="rId91" xr:uid="{00000000-0004-0000-0000-00005A000000}"/>
    <hyperlink ref="S54" r:id="rId92" xr:uid="{00000000-0004-0000-0000-00005B000000}"/>
    <hyperlink ref="R55" r:id="rId93" xr:uid="{00000000-0004-0000-0000-00005C000000}"/>
    <hyperlink ref="S55" r:id="rId94" xr:uid="{00000000-0004-0000-0000-00005D000000}"/>
    <hyperlink ref="S56" r:id="rId95" xr:uid="{00000000-0004-0000-0000-00005E000000}"/>
    <hyperlink ref="R57" r:id="rId96" xr:uid="{00000000-0004-0000-0000-00005F000000}"/>
    <hyperlink ref="S57" r:id="rId97" xr:uid="{00000000-0004-0000-0000-000060000000}"/>
    <hyperlink ref="T57" r:id="rId98" xr:uid="{00000000-0004-0000-0000-000061000000}"/>
    <hyperlink ref="R59" r:id="rId99" xr:uid="{00000000-0004-0000-0000-000062000000}"/>
    <hyperlink ref="R60" r:id="rId100" xr:uid="{00000000-0004-0000-0000-000063000000}"/>
    <hyperlink ref="S60" r:id="rId101" xr:uid="{00000000-0004-0000-0000-000064000000}"/>
    <hyperlink ref="T60" r:id="rId102" xr:uid="{00000000-0004-0000-0000-000065000000}"/>
    <hyperlink ref="S61" r:id="rId103" xr:uid="{00000000-0004-0000-0000-000066000000}"/>
    <hyperlink ref="T61" r:id="rId104" xr:uid="{00000000-0004-0000-0000-000067000000}"/>
    <hyperlink ref="R62" r:id="rId105" xr:uid="{00000000-0004-0000-0000-000068000000}"/>
    <hyperlink ref="R64" r:id="rId106" xr:uid="{00000000-0004-0000-0000-000069000000}"/>
    <hyperlink ref="R65" r:id="rId107" xr:uid="{00000000-0004-0000-0000-00006A000000}"/>
    <hyperlink ref="S67" r:id="rId108" xr:uid="{00000000-0004-0000-0000-00006B000000}"/>
    <hyperlink ref="S68" r:id="rId109" xr:uid="{00000000-0004-0000-0000-00006C000000}"/>
    <hyperlink ref="R69" r:id="rId110" xr:uid="{00000000-0004-0000-0000-00006D000000}"/>
    <hyperlink ref="S69" r:id="rId111" xr:uid="{00000000-0004-0000-0000-00006E000000}"/>
    <hyperlink ref="T69" r:id="rId112" xr:uid="{00000000-0004-0000-0000-00006F000000}"/>
    <hyperlink ref="R70" r:id="rId113" xr:uid="{00000000-0004-0000-0000-000070000000}"/>
    <hyperlink ref="S70" r:id="rId114" xr:uid="{00000000-0004-0000-0000-000071000000}"/>
    <hyperlink ref="R72" r:id="rId115" xr:uid="{00000000-0004-0000-0000-000072000000}"/>
    <hyperlink ref="R73" r:id="rId116" xr:uid="{00000000-0004-0000-0000-000073000000}"/>
    <hyperlink ref="S73" r:id="rId117" xr:uid="{00000000-0004-0000-0000-000074000000}"/>
    <hyperlink ref="T73" r:id="rId118" xr:uid="{00000000-0004-0000-0000-000075000000}"/>
    <hyperlink ref="R75" r:id="rId119" xr:uid="{00000000-0004-0000-0000-000076000000}"/>
    <hyperlink ref="S75" r:id="rId120" xr:uid="{00000000-0004-0000-0000-000077000000}"/>
    <hyperlink ref="T75" r:id="rId121" xr:uid="{00000000-0004-0000-0000-000078000000}"/>
    <hyperlink ref="R77" r:id="rId122" xr:uid="{00000000-0004-0000-0000-000079000000}"/>
    <hyperlink ref="S77" r:id="rId123" xr:uid="{00000000-0004-0000-0000-00007A000000}"/>
    <hyperlink ref="T77" r:id="rId124" xr:uid="{00000000-0004-0000-0000-00007B000000}"/>
    <hyperlink ref="S78" r:id="rId125" xr:uid="{00000000-0004-0000-0000-00007C000000}"/>
    <hyperlink ref="R79" r:id="rId126" xr:uid="{00000000-0004-0000-0000-00007D000000}"/>
    <hyperlink ref="S79" r:id="rId127" xr:uid="{00000000-0004-0000-0000-00007E000000}"/>
    <hyperlink ref="R80" r:id="rId128" xr:uid="{00000000-0004-0000-0000-00007F000000}"/>
    <hyperlink ref="R81" r:id="rId129" xr:uid="{00000000-0004-0000-0000-000080000000}"/>
    <hyperlink ref="S81" r:id="rId130" xr:uid="{00000000-0004-0000-0000-000081000000}"/>
    <hyperlink ref="R82" r:id="rId131" xr:uid="{00000000-0004-0000-0000-000082000000}"/>
    <hyperlink ref="S82" r:id="rId132" xr:uid="{00000000-0004-0000-0000-000083000000}"/>
    <hyperlink ref="S83" r:id="rId133" xr:uid="{00000000-0004-0000-0000-000084000000}"/>
    <hyperlink ref="S84" r:id="rId134" xr:uid="{00000000-0004-0000-0000-000085000000}"/>
    <hyperlink ref="S85" r:id="rId135" xr:uid="{00000000-0004-0000-0000-000086000000}"/>
    <hyperlink ref="R86" r:id="rId136" xr:uid="{00000000-0004-0000-0000-000087000000}"/>
    <hyperlink ref="S86" r:id="rId137" xr:uid="{00000000-0004-0000-0000-000088000000}"/>
    <hyperlink ref="T86" r:id="rId138" xr:uid="{00000000-0004-0000-0000-000089000000}"/>
    <hyperlink ref="R87" r:id="rId139" xr:uid="{00000000-0004-0000-0000-00008A000000}"/>
    <hyperlink ref="S87" r:id="rId140" xr:uid="{00000000-0004-0000-0000-00008B000000}"/>
    <hyperlink ref="S88" r:id="rId141" xr:uid="{00000000-0004-0000-0000-00008C000000}"/>
    <hyperlink ref="S89" r:id="rId142" xr:uid="{00000000-0004-0000-0000-00008D000000}"/>
    <hyperlink ref="S94" r:id="rId143" xr:uid="{00000000-0004-0000-0000-00008E000000}"/>
    <hyperlink ref="S96" r:id="rId144" xr:uid="{00000000-0004-0000-0000-00008F000000}"/>
    <hyperlink ref="R98" r:id="rId145" xr:uid="{00000000-0004-0000-0000-000090000000}"/>
    <hyperlink ref="S98" r:id="rId146" xr:uid="{00000000-0004-0000-0000-000091000000}"/>
    <hyperlink ref="T98" r:id="rId147" xr:uid="{00000000-0004-0000-0000-000092000000}"/>
    <hyperlink ref="R100" r:id="rId148" xr:uid="{00000000-0004-0000-0000-000093000000}"/>
    <hyperlink ref="S100" r:id="rId149" xr:uid="{00000000-0004-0000-0000-000094000000}"/>
    <hyperlink ref="T100" r:id="rId150" xr:uid="{00000000-0004-0000-0000-000095000000}"/>
    <hyperlink ref="S102" r:id="rId151" xr:uid="{00000000-0004-0000-0000-000096000000}"/>
    <hyperlink ref="S103" r:id="rId152" xr:uid="{00000000-0004-0000-0000-000097000000}"/>
    <hyperlink ref="S108" r:id="rId153" xr:uid="{00000000-0004-0000-0000-000098000000}"/>
    <hyperlink ref="R112" r:id="rId154" xr:uid="{00000000-0004-0000-0000-000099000000}"/>
    <hyperlink ref="S112" r:id="rId155" xr:uid="{00000000-0004-0000-0000-00009A000000}"/>
    <hyperlink ref="S113" r:id="rId156" xr:uid="{00000000-0004-0000-0000-00009B000000}"/>
    <hyperlink ref="S115" r:id="rId157" xr:uid="{00000000-0004-0000-0000-00009C000000}"/>
    <hyperlink ref="R117" r:id="rId158" xr:uid="{00000000-0004-0000-0000-00009D000000}"/>
    <hyperlink ref="S117" r:id="rId159" xr:uid="{00000000-0004-0000-0000-00009E000000}"/>
    <hyperlink ref="T117" r:id="rId160" xr:uid="{00000000-0004-0000-0000-00009F000000}"/>
    <hyperlink ref="S118" r:id="rId161" xr:uid="{00000000-0004-0000-0000-0000A0000000}"/>
    <hyperlink ref="S119" r:id="rId162" xr:uid="{00000000-0004-0000-0000-0000A1000000}"/>
    <hyperlink ref="R122" r:id="rId163" xr:uid="{00000000-0004-0000-0000-0000A2000000}"/>
    <hyperlink ref="S122" r:id="rId164" xr:uid="{00000000-0004-0000-0000-0000A3000000}"/>
    <hyperlink ref="S123" r:id="rId165" xr:uid="{00000000-0004-0000-0000-0000A4000000}"/>
    <hyperlink ref="T123" r:id="rId166" xr:uid="{00000000-0004-0000-0000-0000A5000000}"/>
    <hyperlink ref="R124" r:id="rId167" xr:uid="{00000000-0004-0000-0000-0000A6000000}"/>
    <hyperlink ref="S124" r:id="rId168" xr:uid="{00000000-0004-0000-0000-0000A7000000}"/>
    <hyperlink ref="S125" r:id="rId169" xr:uid="{00000000-0004-0000-0000-0000A8000000}"/>
    <hyperlink ref="R126" r:id="rId170" xr:uid="{00000000-0004-0000-0000-0000A9000000}"/>
    <hyperlink ref="S127" r:id="rId171" xr:uid="{00000000-0004-0000-0000-0000AA000000}"/>
    <hyperlink ref="R129" r:id="rId172" xr:uid="{00000000-0004-0000-0000-0000AB000000}"/>
    <hyperlink ref="S129" r:id="rId173" xr:uid="{00000000-0004-0000-0000-0000AC000000}"/>
    <hyperlink ref="R130" r:id="rId174" xr:uid="{00000000-0004-0000-0000-0000AD000000}"/>
    <hyperlink ref="S130" r:id="rId175" xr:uid="{00000000-0004-0000-0000-0000AE000000}"/>
    <hyperlink ref="S131" r:id="rId176" xr:uid="{00000000-0004-0000-0000-0000AF000000}"/>
    <hyperlink ref="S132" r:id="rId177" xr:uid="{00000000-0004-0000-0000-0000B0000000}"/>
    <hyperlink ref="R135" r:id="rId178" xr:uid="{00000000-0004-0000-0000-0000B1000000}"/>
    <hyperlink ref="S137" r:id="rId179" xr:uid="{00000000-0004-0000-0000-0000B2000000}"/>
    <hyperlink ref="R138" r:id="rId180" xr:uid="{00000000-0004-0000-0000-0000B3000000}"/>
    <hyperlink ref="S138" r:id="rId181" xr:uid="{00000000-0004-0000-0000-0000B4000000}"/>
    <hyperlink ref="T138" r:id="rId182" xr:uid="{00000000-0004-0000-0000-0000B5000000}"/>
    <hyperlink ref="R140" r:id="rId183" xr:uid="{00000000-0004-0000-0000-0000B6000000}"/>
    <hyperlink ref="S140" r:id="rId184" xr:uid="{00000000-0004-0000-0000-0000B7000000}"/>
    <hyperlink ref="T140" r:id="rId185" xr:uid="{00000000-0004-0000-0000-0000B8000000}"/>
    <hyperlink ref="S141" r:id="rId186" xr:uid="{00000000-0004-0000-0000-0000B9000000}"/>
    <hyperlink ref="S142" r:id="rId187" xr:uid="{00000000-0004-0000-0000-0000BA000000}"/>
    <hyperlink ref="S143" r:id="rId188" xr:uid="{00000000-0004-0000-0000-0000BB000000}"/>
    <hyperlink ref="S144" r:id="rId189" xr:uid="{00000000-0004-0000-0000-0000BC000000}"/>
    <hyperlink ref="S148" r:id="rId190" xr:uid="{00000000-0004-0000-0000-0000BD000000}"/>
    <hyperlink ref="S150" r:id="rId191" xr:uid="{00000000-0004-0000-0000-0000BE000000}"/>
    <hyperlink ref="S151" r:id="rId192" xr:uid="{00000000-0004-0000-0000-0000BF000000}"/>
    <hyperlink ref="R152" r:id="rId193" xr:uid="{00000000-0004-0000-0000-0000C0000000}"/>
    <hyperlink ref="S152" r:id="rId194" xr:uid="{00000000-0004-0000-0000-0000C1000000}"/>
    <hyperlink ref="S154" r:id="rId195" xr:uid="{00000000-0004-0000-0000-0000C2000000}"/>
    <hyperlink ref="S155" r:id="rId196" xr:uid="{00000000-0004-0000-0000-0000C3000000}"/>
    <hyperlink ref="R156" r:id="rId197" xr:uid="{00000000-0004-0000-0000-0000C4000000}"/>
    <hyperlink ref="S156" r:id="rId198" xr:uid="{00000000-0004-0000-0000-0000C5000000}"/>
    <hyperlink ref="T156" r:id="rId199" xr:uid="{00000000-0004-0000-0000-0000C6000000}"/>
    <hyperlink ref="R157" r:id="rId200" xr:uid="{00000000-0004-0000-0000-0000C7000000}"/>
    <hyperlink ref="S157" r:id="rId201" xr:uid="{00000000-0004-0000-0000-0000C8000000}"/>
    <hyperlink ref="S159" r:id="rId202" xr:uid="{00000000-0004-0000-0000-0000C9000000}"/>
    <hyperlink ref="R162" r:id="rId203" xr:uid="{00000000-0004-0000-0000-0000CA000000}"/>
    <hyperlink ref="S162" r:id="rId204" xr:uid="{00000000-0004-0000-0000-0000CB000000}"/>
    <hyperlink ref="T162" r:id="rId205" xr:uid="{00000000-0004-0000-0000-0000CC000000}"/>
    <hyperlink ref="R164" r:id="rId206" xr:uid="{00000000-0004-0000-0000-0000CD000000}"/>
    <hyperlink ref="S165" r:id="rId207" xr:uid="{00000000-0004-0000-0000-0000CE000000}"/>
    <hyperlink ref="S167" r:id="rId208" xr:uid="{00000000-0004-0000-0000-0000CF000000}"/>
    <hyperlink ref="T167" r:id="rId209" xr:uid="{00000000-0004-0000-0000-0000D0000000}"/>
    <hyperlink ref="S169" r:id="rId210" xr:uid="{00000000-0004-0000-0000-0000D1000000}"/>
    <hyperlink ref="R170" r:id="rId211" xr:uid="{00000000-0004-0000-0000-0000D2000000}"/>
    <hyperlink ref="S170" r:id="rId212" xr:uid="{00000000-0004-0000-0000-0000D3000000}"/>
    <hyperlink ref="S173" r:id="rId213" xr:uid="{00000000-0004-0000-0000-0000D4000000}"/>
    <hyperlink ref="S174" r:id="rId214" xr:uid="{00000000-0004-0000-0000-0000D5000000}"/>
    <hyperlink ref="S175" r:id="rId215" xr:uid="{00000000-0004-0000-0000-0000D6000000}"/>
    <hyperlink ref="S176" r:id="rId216" xr:uid="{00000000-0004-0000-0000-0000D7000000}"/>
    <hyperlink ref="S179" r:id="rId217" xr:uid="{00000000-0004-0000-0000-0000D8000000}"/>
    <hyperlink ref="R180" r:id="rId218" xr:uid="{00000000-0004-0000-0000-0000D9000000}"/>
    <hyperlink ref="S180" r:id="rId219" xr:uid="{00000000-0004-0000-0000-0000DA000000}"/>
    <hyperlink ref="T180" r:id="rId220" xr:uid="{00000000-0004-0000-0000-0000DB000000}"/>
    <hyperlink ref="R181" r:id="rId221" xr:uid="{00000000-0004-0000-0000-0000DC000000}"/>
    <hyperlink ref="T181" r:id="rId222" xr:uid="{00000000-0004-0000-0000-0000DD000000}"/>
    <hyperlink ref="S182" r:id="rId223" xr:uid="{00000000-0004-0000-0000-0000DE000000}"/>
    <hyperlink ref="S184" r:id="rId224" xr:uid="{00000000-0004-0000-0000-0000DF000000}"/>
    <hyperlink ref="R185" r:id="rId225" xr:uid="{00000000-0004-0000-0000-0000E0000000}"/>
    <hyperlink ref="S186" r:id="rId226" xr:uid="{00000000-0004-0000-0000-0000E1000000}"/>
    <hyperlink ref="S188" r:id="rId227" xr:uid="{00000000-0004-0000-0000-0000E2000000}"/>
    <hyperlink ref="R194" r:id="rId228" xr:uid="{00000000-0004-0000-0000-0000E3000000}"/>
    <hyperlink ref="S194" r:id="rId229" xr:uid="{00000000-0004-0000-0000-0000E4000000}"/>
    <hyperlink ref="S195" r:id="rId230" xr:uid="{00000000-0004-0000-0000-0000E5000000}"/>
    <hyperlink ref="S196" r:id="rId231" xr:uid="{00000000-0004-0000-0000-0000E6000000}"/>
    <hyperlink ref="S197" r:id="rId232" xr:uid="{00000000-0004-0000-0000-0000E7000000}"/>
    <hyperlink ref="S201" r:id="rId233" xr:uid="{00000000-0004-0000-0000-0000E8000000}"/>
    <hyperlink ref="S205" r:id="rId234" xr:uid="{00000000-0004-0000-0000-0000E9000000}"/>
    <hyperlink ref="R206" r:id="rId235" xr:uid="{00000000-0004-0000-0000-0000EA000000}"/>
    <hyperlink ref="R207" r:id="rId236" xr:uid="{00000000-0004-0000-0000-0000EB000000}"/>
    <hyperlink ref="S207" r:id="rId237" xr:uid="{00000000-0004-0000-0000-0000EC000000}"/>
    <hyperlink ref="T207" r:id="rId238" xr:uid="{00000000-0004-0000-0000-0000ED000000}"/>
    <hyperlink ref="R208" r:id="rId239" xr:uid="{00000000-0004-0000-0000-0000EE000000}"/>
    <hyperlink ref="S208" r:id="rId240" xr:uid="{00000000-0004-0000-0000-0000EF000000}"/>
    <hyperlink ref="T208" r:id="rId241" xr:uid="{00000000-0004-0000-0000-0000F0000000}"/>
    <hyperlink ref="S209" r:id="rId242" xr:uid="{00000000-0004-0000-0000-0000F1000000}"/>
    <hyperlink ref="T209" r:id="rId243" xr:uid="{00000000-0004-0000-0000-0000F2000000}"/>
    <hyperlink ref="R210" r:id="rId244" xr:uid="{00000000-0004-0000-0000-0000F3000000}"/>
    <hyperlink ref="S210" r:id="rId245" xr:uid="{00000000-0004-0000-0000-0000F4000000}"/>
    <hyperlink ref="S211" r:id="rId246" xr:uid="{00000000-0004-0000-0000-0000F5000000}"/>
    <hyperlink ref="R212" r:id="rId247" xr:uid="{00000000-0004-0000-0000-0000F6000000}"/>
    <hyperlink ref="S212" r:id="rId248" xr:uid="{00000000-0004-0000-0000-0000F7000000}"/>
    <hyperlink ref="T212" r:id="rId249" xr:uid="{00000000-0004-0000-0000-0000F8000000}"/>
    <hyperlink ref="S213" r:id="rId250" xr:uid="{00000000-0004-0000-0000-0000F9000000}"/>
    <hyperlink ref="R214" r:id="rId251" xr:uid="{00000000-0004-0000-0000-0000FA000000}"/>
    <hyperlink ref="S214" r:id="rId252" xr:uid="{00000000-0004-0000-0000-0000FB000000}"/>
    <hyperlink ref="S215" r:id="rId253" xr:uid="{00000000-0004-0000-0000-0000FC000000}"/>
    <hyperlink ref="S216" r:id="rId254" xr:uid="{00000000-0004-0000-0000-0000FD000000}"/>
    <hyperlink ref="S217" r:id="rId255" xr:uid="{00000000-0004-0000-0000-0000FE000000}"/>
    <hyperlink ref="S218" r:id="rId256" xr:uid="{00000000-0004-0000-0000-0000FF000000}"/>
    <hyperlink ref="R219" r:id="rId257" xr:uid="{00000000-0004-0000-0000-000000010000}"/>
    <hyperlink ref="S219" r:id="rId258" xr:uid="{00000000-0004-0000-0000-000001010000}"/>
    <hyperlink ref="R220" r:id="rId259" xr:uid="{00000000-0004-0000-0000-000002010000}"/>
    <hyperlink ref="S220" r:id="rId260" xr:uid="{00000000-0004-0000-0000-000003010000}"/>
    <hyperlink ref="R221" r:id="rId261" xr:uid="{00000000-0004-0000-0000-000004010000}"/>
    <hyperlink ref="S221" r:id="rId262" xr:uid="{00000000-0004-0000-0000-000005010000}"/>
    <hyperlink ref="T221" r:id="rId263" xr:uid="{00000000-0004-0000-0000-000006010000}"/>
    <hyperlink ref="R222" r:id="rId264" xr:uid="{00000000-0004-0000-0000-000007010000}"/>
    <hyperlink ref="S222" r:id="rId265" xr:uid="{00000000-0004-0000-0000-000008010000}"/>
    <hyperlink ref="T222" r:id="rId266" xr:uid="{00000000-0004-0000-0000-000009010000}"/>
    <hyperlink ref="S223" r:id="rId267" xr:uid="{00000000-0004-0000-0000-00000A010000}"/>
    <hyperlink ref="R226" r:id="rId268" xr:uid="{00000000-0004-0000-0000-00000B010000}"/>
    <hyperlink ref="S226" r:id="rId269" xr:uid="{00000000-0004-0000-0000-00000C010000}"/>
    <hyperlink ref="S227" r:id="rId270" xr:uid="{00000000-0004-0000-0000-00000D010000}"/>
    <hyperlink ref="S230" r:id="rId271" xr:uid="{00000000-0004-0000-0000-00000E010000}"/>
    <hyperlink ref="R231" r:id="rId272" xr:uid="{00000000-0004-0000-0000-00000F010000}"/>
    <hyperlink ref="S235" r:id="rId273" xr:uid="{00000000-0004-0000-0000-000010010000}"/>
    <hyperlink ref="S237" r:id="rId274" xr:uid="{00000000-0004-0000-0000-000011010000}"/>
    <hyperlink ref="S239" r:id="rId275" xr:uid="{00000000-0004-0000-0000-000012010000}"/>
    <hyperlink ref="S241" r:id="rId276" xr:uid="{00000000-0004-0000-0000-000013010000}"/>
    <hyperlink ref="T241" r:id="rId277" xr:uid="{00000000-0004-0000-0000-000014010000}"/>
    <hyperlink ref="R243" r:id="rId278" xr:uid="{00000000-0004-0000-0000-000015010000}"/>
    <hyperlink ref="S243" r:id="rId279" xr:uid="{00000000-0004-0000-0000-000016010000}"/>
    <hyperlink ref="S244" r:id="rId280" xr:uid="{00000000-0004-0000-0000-000017010000}"/>
    <hyperlink ref="S246" r:id="rId281" xr:uid="{00000000-0004-0000-0000-000018010000}"/>
    <hyperlink ref="S247" r:id="rId282" xr:uid="{00000000-0004-0000-0000-000019010000}"/>
    <hyperlink ref="S251" r:id="rId283" xr:uid="{00000000-0004-0000-0000-00001A010000}"/>
    <hyperlink ref="S253" r:id="rId284" xr:uid="{00000000-0004-0000-0000-00001B010000}"/>
    <hyperlink ref="R254" r:id="rId285" xr:uid="{00000000-0004-0000-0000-00001C010000}"/>
    <hyperlink ref="S255" r:id="rId286" xr:uid="{00000000-0004-0000-0000-00001D010000}"/>
    <hyperlink ref="S257" r:id="rId287" xr:uid="{00000000-0004-0000-0000-00001E010000}"/>
    <hyperlink ref="S260" r:id="rId288" xr:uid="{00000000-0004-0000-0000-00001F010000}"/>
    <hyperlink ref="S261" r:id="rId289" xr:uid="{00000000-0004-0000-0000-000020010000}"/>
    <hyperlink ref="S266" r:id="rId290" xr:uid="{00000000-0004-0000-0000-000021010000}"/>
    <hyperlink ref="S268" r:id="rId291" xr:uid="{00000000-0004-0000-0000-000022010000}"/>
    <hyperlink ref="S272" r:id="rId292" xr:uid="{00000000-0004-0000-0000-000023010000}"/>
    <hyperlink ref="S274" r:id="rId293" xr:uid="{00000000-0004-0000-0000-000024010000}"/>
    <hyperlink ref="S276" r:id="rId294" xr:uid="{00000000-0004-0000-0000-000025010000}"/>
    <hyperlink ref="S282" r:id="rId295" xr:uid="{00000000-0004-0000-0000-000026010000}"/>
    <hyperlink ref="R286" r:id="rId296" xr:uid="{00000000-0004-0000-0000-000027010000}"/>
    <hyperlink ref="S290" r:id="rId297" xr:uid="{00000000-0004-0000-0000-000028010000}"/>
    <hyperlink ref="S295" r:id="rId298" xr:uid="{00000000-0004-0000-0000-000029010000}"/>
    <hyperlink ref="S296" r:id="rId299" xr:uid="{00000000-0004-0000-0000-00002A010000}"/>
    <hyperlink ref="S299" r:id="rId300" xr:uid="{00000000-0004-0000-0000-00002B010000}"/>
    <hyperlink ref="S300" r:id="rId301" xr:uid="{00000000-0004-0000-0000-00002C010000}"/>
    <hyperlink ref="R301" r:id="rId302" xr:uid="{00000000-0004-0000-0000-00002D010000}"/>
    <hyperlink ref="S301" r:id="rId303" xr:uid="{00000000-0004-0000-0000-00002E010000}"/>
    <hyperlink ref="S302" r:id="rId304" xr:uid="{00000000-0004-0000-0000-00002F010000}"/>
    <hyperlink ref="R304" r:id="rId305" xr:uid="{00000000-0004-0000-0000-000030010000}"/>
    <hyperlink ref="S304" r:id="rId306" xr:uid="{00000000-0004-0000-0000-000031010000}"/>
    <hyperlink ref="T304" r:id="rId307" xr:uid="{00000000-0004-0000-0000-000032010000}"/>
    <hyperlink ref="R305" r:id="rId308" xr:uid="{00000000-0004-0000-0000-000033010000}"/>
    <hyperlink ref="S305" r:id="rId309" xr:uid="{00000000-0004-0000-0000-000034010000}"/>
    <hyperlink ref="S306" r:id="rId310" xr:uid="{00000000-0004-0000-0000-000035010000}"/>
    <hyperlink ref="S307" r:id="rId311" xr:uid="{00000000-0004-0000-0000-000036010000}"/>
    <hyperlink ref="S309" r:id="rId312" xr:uid="{00000000-0004-0000-0000-000037010000}"/>
    <hyperlink ref="R310" r:id="rId313" xr:uid="{00000000-0004-0000-0000-000038010000}"/>
    <hyperlink ref="S310" r:id="rId314" xr:uid="{00000000-0004-0000-0000-000039010000}"/>
    <hyperlink ref="T310" r:id="rId315" xr:uid="{00000000-0004-0000-0000-00003A010000}"/>
    <hyperlink ref="R314" r:id="rId316" xr:uid="{00000000-0004-0000-0000-00003B010000}"/>
    <hyperlink ref="S315" r:id="rId317" xr:uid="{00000000-0004-0000-0000-00003C010000}"/>
    <hyperlink ref="R316" r:id="rId318" xr:uid="{00000000-0004-0000-0000-00003D010000}"/>
    <hyperlink ref="S316" r:id="rId319" xr:uid="{00000000-0004-0000-0000-00003E010000}"/>
    <hyperlink ref="S317" r:id="rId320" xr:uid="{00000000-0004-0000-0000-00003F010000}"/>
    <hyperlink ref="R318" r:id="rId321" xr:uid="{00000000-0004-0000-0000-000040010000}"/>
    <hyperlink ref="S318" r:id="rId322" xr:uid="{00000000-0004-0000-0000-000041010000}"/>
    <hyperlink ref="T318" r:id="rId323" xr:uid="{00000000-0004-0000-0000-000042010000}"/>
    <hyperlink ref="S319" r:id="rId324" xr:uid="{00000000-0004-0000-0000-000043010000}"/>
    <hyperlink ref="S320" r:id="rId325" xr:uid="{00000000-0004-0000-0000-000044010000}"/>
    <hyperlink ref="S322" r:id="rId326" xr:uid="{00000000-0004-0000-0000-000045010000}"/>
    <hyperlink ref="S323" r:id="rId327" xr:uid="{00000000-0004-0000-0000-000046010000}"/>
    <hyperlink ref="S324" r:id="rId328" xr:uid="{00000000-0004-0000-0000-000047010000}"/>
    <hyperlink ref="S326" r:id="rId329" xr:uid="{00000000-0004-0000-0000-000048010000}"/>
    <hyperlink ref="S333" r:id="rId330" xr:uid="{00000000-0004-0000-0000-000049010000}"/>
    <hyperlink ref="S334" r:id="rId331" xr:uid="{00000000-0004-0000-0000-00004A010000}"/>
    <hyperlink ref="S335" r:id="rId332" xr:uid="{00000000-0004-0000-0000-00004B010000}"/>
    <hyperlink ref="S336" r:id="rId333" xr:uid="{00000000-0004-0000-0000-00004C010000}"/>
    <hyperlink ref="S337" r:id="rId334" xr:uid="{00000000-0004-0000-0000-00004D010000}"/>
    <hyperlink ref="S340" r:id="rId335" xr:uid="{00000000-0004-0000-0000-00004E010000}"/>
    <hyperlink ref="S342" r:id="rId336" xr:uid="{00000000-0004-0000-0000-00004F010000}"/>
    <hyperlink ref="S343" r:id="rId337" xr:uid="{00000000-0004-0000-0000-000050010000}"/>
    <hyperlink ref="R344" r:id="rId338" xr:uid="{00000000-0004-0000-0000-000051010000}"/>
    <hyperlink ref="S344" r:id="rId339" xr:uid="{00000000-0004-0000-0000-000052010000}"/>
    <hyperlink ref="S346" r:id="rId340" xr:uid="{00000000-0004-0000-0000-000053010000}"/>
    <hyperlink ref="T346" r:id="rId341" xr:uid="{00000000-0004-0000-0000-000054010000}"/>
    <hyperlink ref="R348" r:id="rId342" xr:uid="{00000000-0004-0000-0000-000055010000}"/>
    <hyperlink ref="R353" r:id="rId343" xr:uid="{00000000-0004-0000-0000-000056010000}"/>
    <hyperlink ref="R356" r:id="rId344" xr:uid="{00000000-0004-0000-0000-000057010000}"/>
    <hyperlink ref="S356" r:id="rId345" xr:uid="{00000000-0004-0000-0000-000058010000}"/>
    <hyperlink ref="S357" r:id="rId346" xr:uid="{00000000-0004-0000-0000-000059010000}"/>
    <hyperlink ref="S359" r:id="rId347" xr:uid="{00000000-0004-0000-0000-00005A010000}"/>
    <hyperlink ref="T359" r:id="rId348" xr:uid="{00000000-0004-0000-0000-00005B010000}"/>
    <hyperlink ref="S360" r:id="rId349" xr:uid="{00000000-0004-0000-0000-00005C010000}"/>
    <hyperlink ref="S363" r:id="rId350" xr:uid="{00000000-0004-0000-0000-00005D010000}"/>
    <hyperlink ref="S369" r:id="rId351" xr:uid="{00000000-0004-0000-0000-00005E010000}"/>
    <hyperlink ref="S370" r:id="rId352" xr:uid="{00000000-0004-0000-0000-00005F010000}"/>
    <hyperlink ref="R379" r:id="rId353" xr:uid="{00000000-0004-0000-0000-000060010000}"/>
    <hyperlink ref="S379" r:id="rId354" xr:uid="{00000000-0004-0000-0000-000061010000}"/>
    <hyperlink ref="S390" r:id="rId355" xr:uid="{00000000-0004-0000-0000-000062010000}"/>
    <hyperlink ref="R409" r:id="rId356" xr:uid="{00000000-0004-0000-0000-000063010000}"/>
    <hyperlink ref="S409" r:id="rId357" xr:uid="{00000000-0004-0000-0000-000064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5" x14ac:dyDescent="0.35"/>
  <cols>
    <col min="1" max="1" width="120" customWidth="1"/>
  </cols>
  <sheetData>
    <row r="1" spans="1:1" ht="15.5" x14ac:dyDescent="0.35">
      <c r="A1" s="9" t="s">
        <v>3444</v>
      </c>
    </row>
    <row r="2" spans="1:1" x14ac:dyDescent="0.35">
      <c r="A2" s="10"/>
    </row>
    <row r="3" spans="1:1" x14ac:dyDescent="0.35">
      <c r="A3" s="11" t="s">
        <v>3445</v>
      </c>
    </row>
    <row r="4" spans="1:1" ht="25" x14ac:dyDescent="0.35">
      <c r="A4" s="10" t="s">
        <v>3446</v>
      </c>
    </row>
    <row r="5" spans="1:1" ht="25" x14ac:dyDescent="0.35">
      <c r="A5" s="10" t="s">
        <v>3447</v>
      </c>
    </row>
    <row r="6" spans="1:1" x14ac:dyDescent="0.35">
      <c r="A6" s="10" t="s">
        <v>3448</v>
      </c>
    </row>
    <row r="7" spans="1:1" x14ac:dyDescent="0.35">
      <c r="A7" s="10" t="s">
        <v>3449</v>
      </c>
    </row>
    <row r="8" spans="1:1" x14ac:dyDescent="0.35">
      <c r="A8" s="10"/>
    </row>
    <row r="9" spans="1:1" x14ac:dyDescent="0.35">
      <c r="A9" s="11" t="s">
        <v>3450</v>
      </c>
    </row>
    <row r="10" spans="1:1" ht="25" x14ac:dyDescent="0.35">
      <c r="A10" s="10" t="s">
        <v>3451</v>
      </c>
    </row>
    <row r="11" spans="1:1" x14ac:dyDescent="0.35">
      <c r="A11" s="10"/>
    </row>
    <row r="12" spans="1:1" x14ac:dyDescent="0.35">
      <c r="A12" s="11" t="s">
        <v>1</v>
      </c>
    </row>
    <row r="13" spans="1:1" ht="37.5" x14ac:dyDescent="0.35">
      <c r="A13" s="10" t="s">
        <v>3452</v>
      </c>
    </row>
    <row r="14" spans="1:1" x14ac:dyDescent="0.35">
      <c r="A14" s="10"/>
    </row>
    <row r="15" spans="1:1" x14ac:dyDescent="0.35">
      <c r="A15" s="11" t="s">
        <v>2</v>
      </c>
    </row>
    <row r="16" spans="1:1" ht="37.5" x14ac:dyDescent="0.35">
      <c r="A16" s="10" t="s">
        <v>3453</v>
      </c>
    </row>
    <row r="17" spans="1:1" x14ac:dyDescent="0.35">
      <c r="A17" s="10"/>
    </row>
    <row r="18" spans="1:1" x14ac:dyDescent="0.35">
      <c r="A18" s="11" t="s">
        <v>3454</v>
      </c>
    </row>
    <row r="19" spans="1:1" ht="37.5" x14ac:dyDescent="0.35">
      <c r="A19" s="10" t="s">
        <v>3455</v>
      </c>
    </row>
    <row r="20" spans="1:1" x14ac:dyDescent="0.35">
      <c r="A20" s="10"/>
    </row>
    <row r="21" spans="1:1" x14ac:dyDescent="0.35">
      <c r="A21" s="11" t="s">
        <v>3456</v>
      </c>
    </row>
    <row r="22" spans="1:1" ht="25" x14ac:dyDescent="0.35">
      <c r="A22" s="10" t="s">
        <v>3457</v>
      </c>
    </row>
    <row r="23" spans="1:1" x14ac:dyDescent="0.35">
      <c r="A23" s="10" t="s">
        <v>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5" x14ac:dyDescent="0.35"/>
  <cols>
    <col min="1" max="1" width="14" customWidth="1"/>
    <col min="2" max="2" width="42" customWidth="1"/>
    <col min="3" max="3" width="110" customWidth="1"/>
  </cols>
  <sheetData>
    <row r="1" spans="1:3" x14ac:dyDescent="0.35">
      <c r="A1" s="12" t="s">
        <v>3459</v>
      </c>
      <c r="B1" s="12" t="s">
        <v>3460</v>
      </c>
      <c r="C1" s="12" t="s">
        <v>3461</v>
      </c>
    </row>
    <row r="2" spans="1:3" ht="200" x14ac:dyDescent="0.35">
      <c r="A2" s="13" t="s">
        <v>3462</v>
      </c>
      <c r="B2" s="14" t="s">
        <v>3463</v>
      </c>
      <c r="C2" s="14" t="s">
        <v>3464</v>
      </c>
    </row>
    <row r="3" spans="1:3" ht="187.5" x14ac:dyDescent="0.35">
      <c r="A3" s="13" t="s">
        <v>3465</v>
      </c>
      <c r="B3" s="14" t="s">
        <v>3466</v>
      </c>
      <c r="C3" s="14" t="s">
        <v>3467</v>
      </c>
    </row>
    <row r="4" spans="1:3" ht="162.5" x14ac:dyDescent="0.35">
      <c r="A4" s="13" t="s">
        <v>3468</v>
      </c>
      <c r="B4" s="14" t="s">
        <v>3469</v>
      </c>
      <c r="C4" s="14" t="s">
        <v>3470</v>
      </c>
    </row>
    <row r="5" spans="1:3" ht="75" x14ac:dyDescent="0.35">
      <c r="A5" s="13" t="s">
        <v>3471</v>
      </c>
      <c r="B5" s="14" t="s">
        <v>3472</v>
      </c>
      <c r="C5" s="14" t="s">
        <v>3473</v>
      </c>
    </row>
    <row r="6" spans="1:3" ht="175" x14ac:dyDescent="0.35">
      <c r="A6" s="13" t="s">
        <v>3474</v>
      </c>
      <c r="B6" s="14" t="s">
        <v>3475</v>
      </c>
      <c r="C6" s="14" t="s">
        <v>3476</v>
      </c>
    </row>
    <row r="7" spans="1:3" ht="87.5" x14ac:dyDescent="0.35">
      <c r="A7" s="13" t="s">
        <v>3477</v>
      </c>
      <c r="B7" s="14" t="s">
        <v>3472</v>
      </c>
      <c r="C7" s="14" t="s">
        <v>3478</v>
      </c>
    </row>
    <row r="8" spans="1:3" ht="37.5" x14ac:dyDescent="0.35">
      <c r="A8" s="13" t="s">
        <v>3479</v>
      </c>
      <c r="B8" s="14" t="s">
        <v>3480</v>
      </c>
      <c r="C8" s="14" t="s">
        <v>3481</v>
      </c>
    </row>
    <row r="10" spans="1:3" x14ac:dyDescent="0.35">
      <c r="A10" s="15" t="s">
        <v>3482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4.5" x14ac:dyDescent="0.35"/>
  <cols>
    <col min="1" max="1" width="24" customWidth="1"/>
    <col min="2" max="2" width="50" customWidth="1"/>
    <col min="3" max="3" width="80" customWidth="1"/>
  </cols>
  <sheetData>
    <row r="1" spans="1:3" x14ac:dyDescent="0.35">
      <c r="A1" s="12" t="s">
        <v>3459</v>
      </c>
      <c r="B1" s="12" t="s">
        <v>3483</v>
      </c>
      <c r="C1" s="12" t="s">
        <v>3484</v>
      </c>
    </row>
    <row r="2" spans="1:3" ht="25" x14ac:dyDescent="0.35">
      <c r="A2" s="13" t="s">
        <v>3485</v>
      </c>
      <c r="B2" s="16"/>
      <c r="C2" s="14" t="s">
        <v>3486</v>
      </c>
    </row>
    <row r="3" spans="1:3" x14ac:dyDescent="0.35">
      <c r="A3" s="13" t="s">
        <v>3487</v>
      </c>
      <c r="B3" s="16"/>
      <c r="C3" s="14" t="s">
        <v>3488</v>
      </c>
    </row>
    <row r="4" spans="1:3" x14ac:dyDescent="0.35">
      <c r="A4" s="13" t="s">
        <v>3489</v>
      </c>
      <c r="B4" s="16" t="s">
        <v>46</v>
      </c>
      <c r="C4" s="14" t="s">
        <v>3490</v>
      </c>
    </row>
    <row r="5" spans="1:3" x14ac:dyDescent="0.35">
      <c r="A5" s="13" t="s">
        <v>3491</v>
      </c>
      <c r="B5" s="16"/>
      <c r="C5" s="14" t="s">
        <v>3490</v>
      </c>
    </row>
    <row r="6" spans="1:3" x14ac:dyDescent="0.35">
      <c r="A6" s="13" t="s">
        <v>3492</v>
      </c>
      <c r="B6" s="16" t="s">
        <v>3493</v>
      </c>
      <c r="C6" s="14" t="s">
        <v>3494</v>
      </c>
    </row>
    <row r="7" spans="1:3" x14ac:dyDescent="0.35">
      <c r="A7" s="13" t="s">
        <v>3495</v>
      </c>
      <c r="B7" s="16" t="s">
        <v>3493</v>
      </c>
      <c r="C7" s="14" t="s">
        <v>3496</v>
      </c>
    </row>
    <row r="8" spans="1:3" x14ac:dyDescent="0.35">
      <c r="A8" s="13" t="s">
        <v>3497</v>
      </c>
      <c r="B8" s="16">
        <v>25</v>
      </c>
      <c r="C8" s="14" t="s">
        <v>3498</v>
      </c>
    </row>
    <row r="9" spans="1:3" x14ac:dyDescent="0.35">
      <c r="A9" s="13" t="s">
        <v>3499</v>
      </c>
      <c r="B9" s="16" t="s">
        <v>3500</v>
      </c>
      <c r="C9" s="14" t="s">
        <v>3501</v>
      </c>
    </row>
    <row r="10" spans="1:3" x14ac:dyDescent="0.35">
      <c r="A10" s="13" t="s">
        <v>3502</v>
      </c>
      <c r="B10" s="16"/>
      <c r="C10" s="14" t="s">
        <v>3503</v>
      </c>
    </row>
    <row r="11" spans="1:3" ht="25" x14ac:dyDescent="0.35">
      <c r="A11" s="13" t="s">
        <v>3504</v>
      </c>
      <c r="B11" s="16" t="s">
        <v>3505</v>
      </c>
      <c r="C11" s="14" t="s">
        <v>3506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/>
  </sheetViews>
  <sheetFormatPr defaultRowHeight="14.5" x14ac:dyDescent="0.35"/>
  <cols>
    <col min="1" max="1" width="32" customWidth="1"/>
    <col min="2" max="6" width="12" customWidth="1"/>
  </cols>
  <sheetData>
    <row r="1" spans="1:2" ht="16.5" x14ac:dyDescent="0.35">
      <c r="A1" s="17" t="s">
        <v>3507</v>
      </c>
    </row>
    <row r="3" spans="1:2" x14ac:dyDescent="0.35">
      <c r="A3" s="12" t="s">
        <v>3</v>
      </c>
      <c r="B3" s="12" t="s">
        <v>3508</v>
      </c>
    </row>
    <row r="4" spans="1:2" x14ac:dyDescent="0.35">
      <c r="A4" s="18" t="s">
        <v>43</v>
      </c>
      <c r="B4" s="18">
        <f>COUNTIF(Leads!$D:$D,A4)</f>
        <v>409</v>
      </c>
    </row>
    <row r="5" spans="1:2" x14ac:dyDescent="0.35">
      <c r="A5" s="18" t="s">
        <v>3509</v>
      </c>
      <c r="B5" s="18">
        <f>COUNTIF(Leads!$D:$D,A5)</f>
        <v>0</v>
      </c>
    </row>
    <row r="6" spans="1:2" x14ac:dyDescent="0.35">
      <c r="A6" s="18" t="s">
        <v>3510</v>
      </c>
      <c r="B6" s="18">
        <f>COUNTIF(Leads!$D:$D,A6)</f>
        <v>0</v>
      </c>
    </row>
    <row r="7" spans="1:2" x14ac:dyDescent="0.35">
      <c r="A7" s="18" t="s">
        <v>3511</v>
      </c>
      <c r="B7" s="18">
        <f>COUNTIF(Leads!$D:$D,A7)</f>
        <v>0</v>
      </c>
    </row>
    <row r="8" spans="1:2" x14ac:dyDescent="0.35">
      <c r="A8" s="18" t="s">
        <v>3512</v>
      </c>
      <c r="B8" s="18">
        <f>COUNTIF(Leads!$D:$D,A8)</f>
        <v>0</v>
      </c>
    </row>
    <row r="9" spans="1:2" x14ac:dyDescent="0.35">
      <c r="A9" s="18" t="s">
        <v>3513</v>
      </c>
      <c r="B9" s="18">
        <f>COUNTIF(Leads!$D:$D,A9)</f>
        <v>0</v>
      </c>
    </row>
    <row r="10" spans="1:2" x14ac:dyDescent="0.35">
      <c r="A10" s="18" t="s">
        <v>3514</v>
      </c>
      <c r="B10" s="18">
        <f>COUNTIF(Leads!$D:$D,A10)</f>
        <v>0</v>
      </c>
    </row>
    <row r="11" spans="1:2" x14ac:dyDescent="0.35">
      <c r="A11" s="18" t="s">
        <v>3515</v>
      </c>
      <c r="B11" s="18">
        <f>COUNTIF(Leads!$D:$D,A11)</f>
        <v>0</v>
      </c>
    </row>
    <row r="12" spans="1:2" x14ac:dyDescent="0.35">
      <c r="A12" s="18" t="s">
        <v>3516</v>
      </c>
      <c r="B12" s="18">
        <f>COUNTIF(Leads!$D:$D,A12)</f>
        <v>0</v>
      </c>
    </row>
    <row r="13" spans="1:2" x14ac:dyDescent="0.35">
      <c r="A13" s="19" t="s">
        <v>3517</v>
      </c>
      <c r="B13" s="19">
        <f>SUM(B4:B12)</f>
        <v>409</v>
      </c>
    </row>
    <row r="15" spans="1:2" x14ac:dyDescent="0.35">
      <c r="A15" s="20" t="s">
        <v>3518</v>
      </c>
    </row>
    <row r="16" spans="1:2" x14ac:dyDescent="0.35">
      <c r="A16" s="18" t="s">
        <v>3519</v>
      </c>
      <c r="B16" s="18">
        <f>B13-B4</f>
        <v>0</v>
      </c>
    </row>
    <row r="17" spans="1:6" x14ac:dyDescent="0.35">
      <c r="A17" s="18" t="s">
        <v>3520</v>
      </c>
      <c r="B17" s="18">
        <f>SUM(B6:B10)</f>
        <v>0</v>
      </c>
    </row>
    <row r="18" spans="1:6" x14ac:dyDescent="0.35">
      <c r="A18" s="18" t="s">
        <v>3521</v>
      </c>
      <c r="B18" s="18">
        <f>B9+B10</f>
        <v>0</v>
      </c>
    </row>
    <row r="19" spans="1:6" x14ac:dyDescent="0.35">
      <c r="A19" s="18" t="s">
        <v>3522</v>
      </c>
      <c r="B19" s="18">
        <f>B10</f>
        <v>0</v>
      </c>
    </row>
    <row r="20" spans="1:6" x14ac:dyDescent="0.35">
      <c r="A20" s="18" t="s">
        <v>3523</v>
      </c>
      <c r="B20" s="21">
        <f>IFERROR(B17/B16,0)</f>
        <v>0</v>
      </c>
    </row>
    <row r="21" spans="1:6" x14ac:dyDescent="0.35">
      <c r="A21" s="18" t="s">
        <v>3524</v>
      </c>
      <c r="B21" s="21">
        <f>IFERROR(B18/B17,0)</f>
        <v>0</v>
      </c>
    </row>
    <row r="24" spans="1:6" x14ac:dyDescent="0.35">
      <c r="A24" s="12" t="s">
        <v>6</v>
      </c>
      <c r="B24" s="12" t="s">
        <v>42</v>
      </c>
      <c r="C24" s="12" t="s">
        <v>2180</v>
      </c>
      <c r="D24" s="12" t="s">
        <v>3183</v>
      </c>
      <c r="E24" s="12" t="s">
        <v>3517</v>
      </c>
      <c r="F24" s="12" t="s">
        <v>3522</v>
      </c>
    </row>
    <row r="25" spans="1:6" x14ac:dyDescent="0.35">
      <c r="A25" s="18" t="s">
        <v>46</v>
      </c>
      <c r="B25" s="18">
        <f>COUNTIFS(Leads!$G:$G,$A25,Leads!$B:$B,"A")</f>
        <v>39</v>
      </c>
      <c r="C25" s="18">
        <f>COUNTIFS(Leads!$G:$G,$A25,Leads!$B:$B,"B")</f>
        <v>28</v>
      </c>
      <c r="D25" s="18">
        <f>COUNTIFS(Leads!$G:$G,$A25,Leads!$B:$B,"C")</f>
        <v>12</v>
      </c>
      <c r="E25" s="18">
        <f t="shared" ref="E25:E32" si="0">SUM(B25:D25)</f>
        <v>79</v>
      </c>
      <c r="F25" s="18">
        <f>COUNTIFS(Leads!$G:$G,$A25,Leads!$D:$D,"Cliente")</f>
        <v>0</v>
      </c>
    </row>
    <row r="26" spans="1:6" x14ac:dyDescent="0.35">
      <c r="A26" s="18" t="s">
        <v>126</v>
      </c>
      <c r="B26" s="18">
        <f>COUNTIFS(Leads!$G:$G,$A26,Leads!$B:$B,"A")</f>
        <v>36</v>
      </c>
      <c r="C26" s="18">
        <f>COUNTIFS(Leads!$G:$G,$A26,Leads!$B:$B,"B")</f>
        <v>27</v>
      </c>
      <c r="D26" s="18">
        <f>COUNTIFS(Leads!$G:$G,$A26,Leads!$B:$B,"C")</f>
        <v>9</v>
      </c>
      <c r="E26" s="18">
        <f t="shared" si="0"/>
        <v>72</v>
      </c>
      <c r="F26" s="18">
        <f>COUNTIFS(Leads!$G:$G,$A26,Leads!$D:$D,"Cliente")</f>
        <v>0</v>
      </c>
    </row>
    <row r="27" spans="1:6" x14ac:dyDescent="0.35">
      <c r="A27" s="18" t="s">
        <v>74</v>
      </c>
      <c r="B27" s="18">
        <f>COUNTIFS(Leads!$G:$G,$A27,Leads!$B:$B,"A")</f>
        <v>20</v>
      </c>
      <c r="C27" s="18">
        <f>COUNTIFS(Leads!$G:$G,$A27,Leads!$B:$B,"B")</f>
        <v>4</v>
      </c>
      <c r="D27" s="18">
        <f>COUNTIFS(Leads!$G:$G,$A27,Leads!$B:$B,"C")</f>
        <v>4</v>
      </c>
      <c r="E27" s="18">
        <f t="shared" si="0"/>
        <v>28</v>
      </c>
      <c r="F27" s="18">
        <f>COUNTIFS(Leads!$G:$G,$A27,Leads!$D:$D,"Cliente")</f>
        <v>0</v>
      </c>
    </row>
    <row r="28" spans="1:6" x14ac:dyDescent="0.35">
      <c r="A28" s="18" t="s">
        <v>107</v>
      </c>
      <c r="B28" s="18">
        <f>COUNTIFS(Leads!$G:$G,$A28,Leads!$B:$B,"A")</f>
        <v>39</v>
      </c>
      <c r="C28" s="18">
        <f>COUNTIFS(Leads!$G:$G,$A28,Leads!$B:$B,"B")</f>
        <v>16</v>
      </c>
      <c r="D28" s="18">
        <f>COUNTIFS(Leads!$G:$G,$A28,Leads!$B:$B,"C")</f>
        <v>2</v>
      </c>
      <c r="E28" s="18">
        <f t="shared" si="0"/>
        <v>57</v>
      </c>
      <c r="F28" s="18">
        <f>COUNTIFS(Leads!$G:$G,$A28,Leads!$D:$D,"Cliente")</f>
        <v>0</v>
      </c>
    </row>
    <row r="29" spans="1:6" x14ac:dyDescent="0.35">
      <c r="A29" s="18" t="s">
        <v>207</v>
      </c>
      <c r="B29" s="18">
        <f>COUNTIFS(Leads!$G:$G,$A29,Leads!$B:$B,"A")</f>
        <v>30</v>
      </c>
      <c r="C29" s="18">
        <f>COUNTIFS(Leads!$G:$G,$A29,Leads!$B:$B,"B")</f>
        <v>14</v>
      </c>
      <c r="D29" s="18">
        <f>COUNTIFS(Leads!$G:$G,$A29,Leads!$B:$B,"C")</f>
        <v>4</v>
      </c>
      <c r="E29" s="18">
        <f t="shared" si="0"/>
        <v>48</v>
      </c>
      <c r="F29" s="18">
        <f>COUNTIFS(Leads!$G:$G,$A29,Leads!$D:$D,"Cliente")</f>
        <v>0</v>
      </c>
    </row>
    <row r="30" spans="1:6" x14ac:dyDescent="0.35">
      <c r="A30" s="18" t="s">
        <v>393</v>
      </c>
      <c r="B30" s="18">
        <f>COUNTIFS(Leads!$G:$G,$A30,Leads!$B:$B,"A")</f>
        <v>36</v>
      </c>
      <c r="C30" s="18">
        <f>COUNTIFS(Leads!$G:$G,$A30,Leads!$B:$B,"B")</f>
        <v>23</v>
      </c>
      <c r="D30" s="18">
        <f>COUNTIFS(Leads!$G:$G,$A30,Leads!$B:$B,"C")</f>
        <v>10</v>
      </c>
      <c r="E30" s="18">
        <f t="shared" si="0"/>
        <v>69</v>
      </c>
      <c r="F30" s="18">
        <f>COUNTIFS(Leads!$G:$G,$A30,Leads!$D:$D,"Cliente")</f>
        <v>0</v>
      </c>
    </row>
    <row r="31" spans="1:6" x14ac:dyDescent="0.35">
      <c r="A31" s="18" t="s">
        <v>991</v>
      </c>
      <c r="B31" s="18">
        <f>COUNTIFS(Leads!$G:$G,$A31,Leads!$B:$B,"A")</f>
        <v>11</v>
      </c>
      <c r="C31" s="18">
        <f>COUNTIFS(Leads!$G:$G,$A31,Leads!$B:$B,"B")</f>
        <v>16</v>
      </c>
      <c r="D31" s="18">
        <f>COUNTIFS(Leads!$G:$G,$A31,Leads!$B:$B,"C")</f>
        <v>4</v>
      </c>
      <c r="E31" s="18">
        <f t="shared" si="0"/>
        <v>31</v>
      </c>
      <c r="F31" s="18">
        <f>COUNTIFS(Leads!$G:$G,$A31,Leads!$D:$D,"Cliente")</f>
        <v>0</v>
      </c>
    </row>
    <row r="32" spans="1:6" x14ac:dyDescent="0.35">
      <c r="A32" s="18" t="s">
        <v>1159</v>
      </c>
      <c r="B32" s="18">
        <f>COUNTIFS(Leads!$G:$G,$A32,Leads!$B:$B,"A")</f>
        <v>12</v>
      </c>
      <c r="C32" s="18">
        <f>COUNTIFS(Leads!$G:$G,$A32,Leads!$B:$B,"B")</f>
        <v>10</v>
      </c>
      <c r="D32" s="18">
        <f>COUNTIFS(Leads!$G:$G,$A32,Leads!$B:$B,"C")</f>
        <v>3</v>
      </c>
      <c r="E32" s="18">
        <f t="shared" si="0"/>
        <v>25</v>
      </c>
      <c r="F32" s="18">
        <f>COUNTIFS(Leads!$G:$G,$A32,Leads!$D:$D,"Cliente")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Leads</vt:lpstr>
      <vt:lpstr>Como usar</vt:lpstr>
      <vt:lpstr>Modelos</vt:lpstr>
      <vt:lpstr>Config</vt:lpstr>
      <vt:lpstr>Painel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Dinis Ferreira</cp:lastModifiedBy>
  <dcterms:created xsi:type="dcterms:W3CDTF">2026-10-08T18:38:42Z</dcterms:created>
  <dcterms:modified xsi:type="dcterms:W3CDTF">2026-10-08T18:39:34Z</dcterms:modified>
</cp:coreProperties>
</file>